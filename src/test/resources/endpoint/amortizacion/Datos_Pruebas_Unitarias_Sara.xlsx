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.rios\Documents\GitHub\msmclpe-prestamo\src\test\resources\endpoint\amortizacion\"/>
    </mc:Choice>
  </mc:AlternateContent>
  <bookViews>
    <workbookView xWindow="0" yWindow="0" windowWidth="19200" windowHeight="7050" activeTab="1"/>
  </bookViews>
  <sheets>
    <sheet name="Con posibilidad de préstamo" sheetId="1" r:id="rId1"/>
    <sheet name="Préstamos en recuperación" sheetId="2" r:id="rId2"/>
    <sheet name="AdminEF" sheetId="3" r:id="rId3"/>
    <sheet name="Sheet2" sheetId="4" r:id="rId4"/>
  </sheets>
  <definedNames>
    <definedName name="_xlnm._FilterDatabase" localSheetId="0" hidden="1">'Con posibilidad de préstamo'!$A$1:$C$1</definedName>
    <definedName name="_xlnm._FilterDatabase" localSheetId="1" hidden="1">'Préstamos en recuperación'!$A$1:$C$101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2" i="4" l="1"/>
  <c r="M52" i="4"/>
  <c r="L52" i="4"/>
  <c r="K52" i="4"/>
  <c r="F43" i="4"/>
  <c r="E40" i="4"/>
  <c r="D40" i="4"/>
  <c r="C40" i="4"/>
  <c r="F40" i="4"/>
  <c r="N55" i="4" l="1"/>
</calcChain>
</file>

<file path=xl/sharedStrings.xml><?xml version="1.0" encoding="utf-8"?>
<sst xmlns="http://schemas.openxmlformats.org/spreadsheetml/2006/main" count="697" uniqueCount="483">
  <si>
    <t>01462604743</t>
  </si>
  <si>
    <t>GAEG260511HDFRSR01</t>
  </si>
  <si>
    <t>01462605195</t>
  </si>
  <si>
    <t>RIAJ240630HGTSCN09</t>
  </si>
  <si>
    <t>01462606110</t>
  </si>
  <si>
    <t>SACJ251215HZSLSS09</t>
  </si>
  <si>
    <t>01462606938</t>
  </si>
  <si>
    <t>CEVF280915HDFLLR03</t>
  </si>
  <si>
    <t>01462607829</t>
  </si>
  <si>
    <t>VXCA271128HNLLRL07</t>
  </si>
  <si>
    <t>01462609486</t>
  </si>
  <si>
    <t>AIRC261031HMCRDM09</t>
  </si>
  <si>
    <t>01462609494</t>
  </si>
  <si>
    <t>GUMG260106HDFNRS01</t>
  </si>
  <si>
    <t>01462700145</t>
  </si>
  <si>
    <t>RAGF270417HBCMRL09</t>
  </si>
  <si>
    <t>01462700178</t>
  </si>
  <si>
    <t>HEAA270708HHGRCN00</t>
  </si>
  <si>
    <t>01462700749</t>
  </si>
  <si>
    <t>DILJ270516HJCZML09</t>
  </si>
  <si>
    <t>01462700954</t>
  </si>
  <si>
    <t>LAOA270829HHGGMR01</t>
  </si>
  <si>
    <t>01462701184</t>
  </si>
  <si>
    <t>SAAL270630HMCNLC19</t>
  </si>
  <si>
    <t>01462701390</t>
  </si>
  <si>
    <t>AURE270808HHGGZM13</t>
  </si>
  <si>
    <t>01462701911</t>
  </si>
  <si>
    <t>VACE271107HDFLSR05</t>
  </si>
  <si>
    <t>01462702380</t>
  </si>
  <si>
    <t>ROGL271025MDFSRZ02</t>
  </si>
  <si>
    <t>01462703156</t>
  </si>
  <si>
    <t>AOVA270323HDFCVN00</t>
  </si>
  <si>
    <t>01462703214</t>
  </si>
  <si>
    <t>MECE270126HDFDRF01</t>
  </si>
  <si>
    <t>01462704311</t>
  </si>
  <si>
    <t>MAEM271218HJCLSR09</t>
  </si>
  <si>
    <t>01462704410</t>
  </si>
  <si>
    <t>AAJJ270816HVZLMQ00</t>
  </si>
  <si>
    <t>01462704899</t>
  </si>
  <si>
    <t>HEAJ270614HMNRVS07</t>
  </si>
  <si>
    <t>01462705540</t>
  </si>
  <si>
    <t>OOPJ270429HDFSLS07</t>
  </si>
  <si>
    <t>01462800317</t>
  </si>
  <si>
    <t>RAOJ280605HMCMCN09</t>
  </si>
  <si>
    <t>01462707355</t>
  </si>
  <si>
    <t>GARJ271204HDFRSS00</t>
  </si>
  <si>
    <t>01462708957</t>
  </si>
  <si>
    <t>FUTR270808HDFNLB05</t>
  </si>
  <si>
    <t>01462709617</t>
  </si>
  <si>
    <t>MALJ271021HDFLBQ06</t>
  </si>
  <si>
    <t>01462709807</t>
  </si>
  <si>
    <t>AISF270425HDFRRR12</t>
  </si>
  <si>
    <t>01462710722</t>
  </si>
  <si>
    <t>DIGA270618HMCZTB02</t>
  </si>
  <si>
    <t>01462710896</t>
  </si>
  <si>
    <t>MAMM270105HVZRSN06</t>
  </si>
  <si>
    <t>01462711480</t>
  </si>
  <si>
    <t>VIMJ270215HJCZNR08</t>
  </si>
  <si>
    <t>01462800234</t>
  </si>
  <si>
    <t>GUGE271011MDFZZM02</t>
  </si>
  <si>
    <t>01462800267</t>
  </si>
  <si>
    <t>TUUT281127HVZRSM01</t>
  </si>
  <si>
    <t>01462800499</t>
  </si>
  <si>
    <t>CEVS290124HDFRLR02</t>
  </si>
  <si>
    <t>01462800614</t>
  </si>
  <si>
    <t>ROGM280315MDFSRR07</t>
  </si>
  <si>
    <t>01462800853</t>
  </si>
  <si>
    <t>LIVE280818MDFNDL05</t>
  </si>
  <si>
    <t>01462800911</t>
  </si>
  <si>
    <t>GACD250417MDFRLL01</t>
  </si>
  <si>
    <t>01462801067</t>
  </si>
  <si>
    <t>RIHF280928HHGVRS00</t>
  </si>
  <si>
    <t>01462801125</t>
  </si>
  <si>
    <t>POHG280407HNENRB05</t>
  </si>
  <si>
    <t>01462802537</t>
  </si>
  <si>
    <t>OICD270304HDFRSN07</t>
  </si>
  <si>
    <t>01462801513</t>
  </si>
  <si>
    <t>CUOF280418HMCRRL07</t>
  </si>
  <si>
    <t>01462801604</t>
  </si>
  <si>
    <t>VIVF281118HDFGRR01</t>
  </si>
  <si>
    <t>01462802578</t>
  </si>
  <si>
    <t>VARJ281122HDFZJS08</t>
  </si>
  <si>
    <t>01462803790</t>
  </si>
  <si>
    <t>ROCI280621HTLJBR07</t>
  </si>
  <si>
    <t>01462804863</t>
  </si>
  <si>
    <t>MOTG280321HDFRRN07</t>
  </si>
  <si>
    <t>01462804137</t>
  </si>
  <si>
    <t>SEVG280810HDFPRL06</t>
  </si>
  <si>
    <t>01462805845</t>
  </si>
  <si>
    <t>DISH281022HDFZRC04</t>
  </si>
  <si>
    <t>01462805530</t>
  </si>
  <si>
    <t>RECG281030MDFCVD08</t>
  </si>
  <si>
    <t>01462805803</t>
  </si>
  <si>
    <t>AUCS280806HMCGHX00</t>
  </si>
  <si>
    <t>01462807981</t>
  </si>
  <si>
    <t>VEFJ280628HDFLGS08</t>
  </si>
  <si>
    <t>01462806124</t>
  </si>
  <si>
    <t>CAGG281212MDFSRD01</t>
  </si>
  <si>
    <t>01462806280</t>
  </si>
  <si>
    <t>GACV281108HDFRRC08</t>
  </si>
  <si>
    <t>01462807593</t>
  </si>
  <si>
    <t>AAAR281104HDFLGY08</t>
  </si>
  <si>
    <t>01462808054</t>
  </si>
  <si>
    <t>NUHJ281227HDFXRN13</t>
  </si>
  <si>
    <t>01462810522</t>
  </si>
  <si>
    <t>RALM281216MDFNNR02</t>
  </si>
  <si>
    <t>01462808336</t>
  </si>
  <si>
    <t>CIPL280905HMCSRR08</t>
  </si>
  <si>
    <t>01462808732</t>
  </si>
  <si>
    <t>OEVR280528HDFLLY00</t>
  </si>
  <si>
    <t>01462809318</t>
  </si>
  <si>
    <t>CARV310328HMNNZC03</t>
  </si>
  <si>
    <t>01462809490</t>
  </si>
  <si>
    <t>PESE270127MSLRLS01</t>
  </si>
  <si>
    <t>01462809847</t>
  </si>
  <si>
    <t>GIRR280119HMCLYB04</t>
  </si>
  <si>
    <t>01462810035</t>
  </si>
  <si>
    <t>OOCV280927HDFSSC05</t>
  </si>
  <si>
    <t>01462809797</t>
  </si>
  <si>
    <t>MAVA280322HDFLLN04</t>
  </si>
  <si>
    <t>01462810423</t>
  </si>
  <si>
    <t>GAPL280523MDFRRZ00</t>
  </si>
  <si>
    <t>01462810456</t>
  </si>
  <si>
    <t>MABA280826HDFRLL00</t>
  </si>
  <si>
    <t>01462811793</t>
  </si>
  <si>
    <t>PONR280410HDFRTD07</t>
  </si>
  <si>
    <t>01462811355</t>
  </si>
  <si>
    <t>JIRE300101MDFMJV03</t>
  </si>
  <si>
    <t>01462811504</t>
  </si>
  <si>
    <t>SOSA281206MHGSRL08</t>
  </si>
  <si>
    <t>01462811843</t>
  </si>
  <si>
    <t>MAMR280212HMCRRD07</t>
  </si>
  <si>
    <t>01462812270</t>
  </si>
  <si>
    <t>GOCS271225HCLNNL06</t>
  </si>
  <si>
    <t>01462813245</t>
  </si>
  <si>
    <t>ROML280714HDFDRS08</t>
  </si>
  <si>
    <t>01462812874</t>
  </si>
  <si>
    <t>TEMR281018HHGLLB19</t>
  </si>
  <si>
    <t>01462813161</t>
  </si>
  <si>
    <t>GOGN281113HDFNTM06</t>
  </si>
  <si>
    <t>01462813203</t>
  </si>
  <si>
    <t>AEOI281103HDFRRG03</t>
  </si>
  <si>
    <t>01462813294</t>
  </si>
  <si>
    <t>ZAUA280601HJCRRD07</t>
  </si>
  <si>
    <t>01462901644</t>
  </si>
  <si>
    <t>ROHG270324MDFMRD03</t>
  </si>
  <si>
    <t>01462900208</t>
  </si>
  <si>
    <t>HELA290104HHGRRQ04</t>
  </si>
  <si>
    <t>01462901453</t>
  </si>
  <si>
    <t>VESJ300226HGTNRS07</t>
  </si>
  <si>
    <t>01462902907</t>
  </si>
  <si>
    <t>GAHV280122HDFRRC04</t>
  </si>
  <si>
    <t>01462902204</t>
  </si>
  <si>
    <t>CAPE290706HMNSDN08</t>
  </si>
  <si>
    <t>01462902477</t>
  </si>
  <si>
    <t>MAMR290403HDFRNC01</t>
  </si>
  <si>
    <t>01462902766</t>
  </si>
  <si>
    <t>SOCF290629HDFTML06</t>
  </si>
  <si>
    <t>01462903988</t>
  </si>
  <si>
    <t>JIHJ290905HDFMDC01</t>
  </si>
  <si>
    <t>01462903376</t>
  </si>
  <si>
    <t>BACM290523HMNRSN00</t>
  </si>
  <si>
    <t>01462903699</t>
  </si>
  <si>
    <t>LOZJ290705HDFPPR04</t>
  </si>
  <si>
    <t>01462904010</t>
  </si>
  <si>
    <t>HERL300713HPLRBP01</t>
  </si>
  <si>
    <t>01462904960</t>
  </si>
  <si>
    <t>SACJ290624HDFMSN02</t>
  </si>
  <si>
    <t>01462905389</t>
  </si>
  <si>
    <t>SICA290712HDFLML07</t>
  </si>
  <si>
    <t>01462905280</t>
  </si>
  <si>
    <t>VASM280407HDFRNG04</t>
  </si>
  <si>
    <t>01462905363</t>
  </si>
  <si>
    <t>QUCC290829HDFNVR07</t>
  </si>
  <si>
    <t>01462905744</t>
  </si>
  <si>
    <t>BOBA290910HYNNRM05</t>
  </si>
  <si>
    <t>01462905868</t>
  </si>
  <si>
    <t>CAGB291029MOCSRT05</t>
  </si>
  <si>
    <t>01462906114</t>
  </si>
  <si>
    <t>GAGR291229MDFRMS04</t>
  </si>
  <si>
    <t>01462906379</t>
  </si>
  <si>
    <t>LOCG291229HDFPBN05</t>
  </si>
  <si>
    <t>01462907054</t>
  </si>
  <si>
    <t>TOGR290522MDFRLT00</t>
  </si>
  <si>
    <t>01462908037</t>
  </si>
  <si>
    <t>BAAA290409HHGRLL04</t>
  </si>
  <si>
    <t>01462908094</t>
  </si>
  <si>
    <t>MAGL280425MDFRNZ05</t>
  </si>
  <si>
    <t>01462908268</t>
  </si>
  <si>
    <t>IACR290703HDFZLG06</t>
  </si>
  <si>
    <t>01462908797</t>
  </si>
  <si>
    <t>PEMC290928HDFRRR03</t>
  </si>
  <si>
    <t>01462909530</t>
  </si>
  <si>
    <t>RASR290325HDFMLB05</t>
  </si>
  <si>
    <t>01462910223</t>
  </si>
  <si>
    <t>MXME290616HDFRND01</t>
  </si>
  <si>
    <t>01462910249</t>
  </si>
  <si>
    <t>DISG291019HCLZTL09</t>
  </si>
  <si>
    <t>01462911411</t>
  </si>
  <si>
    <t>SAXP280702HDFNXD00</t>
  </si>
  <si>
    <t>01462911981</t>
  </si>
  <si>
    <t>BAMS290707HGTRRR06</t>
  </si>
  <si>
    <t>01462912724</t>
  </si>
  <si>
    <t>PAMF290705HDFCNL06</t>
  </si>
  <si>
    <t>01462912229</t>
  </si>
  <si>
    <t>RADJ291124HDFMZV02</t>
  </si>
  <si>
    <t>01462912559</t>
  </si>
  <si>
    <t>SINC290829HDFGVR01</t>
  </si>
  <si>
    <t>01463001311</t>
  </si>
  <si>
    <t>MOAT300922HDFRRM05</t>
  </si>
  <si>
    <t>01463001394</t>
  </si>
  <si>
    <t>GADE300329HMNRMS05</t>
  </si>
  <si>
    <t>01463000842</t>
  </si>
  <si>
    <t>UIAM301118MMCRLR09</t>
  </si>
  <si>
    <t>01463001204</t>
  </si>
  <si>
    <t>HEAB300404MQTRLT00</t>
  </si>
  <si>
    <t>01463001766</t>
  </si>
  <si>
    <t>GAGA290418HDFRNR02</t>
  </si>
  <si>
    <t>01463001774</t>
  </si>
  <si>
    <t>MIBR301110HDFRLC00</t>
  </si>
  <si>
    <t>01463001915</t>
  </si>
  <si>
    <t>SAPR300616HDFNLL01</t>
  </si>
  <si>
    <t>01463002426</t>
  </si>
  <si>
    <t>SACM301017HMCNSR02</t>
  </si>
  <si>
    <t>01463002491</t>
  </si>
  <si>
    <t>LORA280417HPLZDL01</t>
  </si>
  <si>
    <t>01463003531</t>
  </si>
  <si>
    <t>FOCP300706HDFNRB03</t>
  </si>
  <si>
    <t>01463003523</t>
  </si>
  <si>
    <t>GOAL311031HVZMLS09</t>
  </si>
  <si>
    <t>01463003713</t>
  </si>
  <si>
    <t>SOVJ310908HDFRLN00</t>
  </si>
  <si>
    <t>01463003762</t>
  </si>
  <si>
    <t>TEPF321119HMCRRL02</t>
  </si>
  <si>
    <t>01463004588</t>
  </si>
  <si>
    <t>UASD300406MDFGRL01</t>
  </si>
  <si>
    <t>01463004067</t>
  </si>
  <si>
    <t>MASB300213HQTRNN08</t>
  </si>
  <si>
    <t>01463004240</t>
  </si>
  <si>
    <t>MEMT300107MDFNGR08</t>
  </si>
  <si>
    <t>01594260760</t>
  </si>
  <si>
    <t>COLR431120HVZRZB02</t>
  </si>
  <si>
    <t>01594261180</t>
  </si>
  <si>
    <t>PEFA430328HDFLLR04</t>
  </si>
  <si>
    <t>01594261636</t>
  </si>
  <si>
    <t>MAGI420726MDFDMR01</t>
  </si>
  <si>
    <t>01594262055</t>
  </si>
  <si>
    <t>GUDR420111HDFTLD05</t>
  </si>
  <si>
    <t>01594267617</t>
  </si>
  <si>
    <t>BIFO420804HCLRNS00</t>
  </si>
  <si>
    <t>01594270041</t>
  </si>
  <si>
    <t>PERC421104HDFRMR06</t>
  </si>
  <si>
    <t>01594270306</t>
  </si>
  <si>
    <t>AIMR421220HMNVNF01</t>
  </si>
  <si>
    <t>01594272146</t>
  </si>
  <si>
    <t>SUCA420902HDFRRG03</t>
  </si>
  <si>
    <t>01594273532</t>
  </si>
  <si>
    <t>RIVJ430210HMNVLN05</t>
  </si>
  <si>
    <t>01594273912</t>
  </si>
  <si>
    <t>RORA420917HDFMYN03</t>
  </si>
  <si>
    <t>01594277459</t>
  </si>
  <si>
    <t>ROTA420827HDFJLR08</t>
  </si>
  <si>
    <t>01594277830</t>
  </si>
  <si>
    <t>ROML430206MDFDRC03</t>
  </si>
  <si>
    <t>01594278713</t>
  </si>
  <si>
    <t>AAOD430101HSPRRN04</t>
  </si>
  <si>
    <t>01594278911</t>
  </si>
  <si>
    <t>RITE430923HDFVRD01</t>
  </si>
  <si>
    <t>01594279307</t>
  </si>
  <si>
    <t>MATO420405MDGRRL00</t>
  </si>
  <si>
    <t>01594286088</t>
  </si>
  <si>
    <t>VAAF421106HMNCRR06</t>
  </si>
  <si>
    <t>01594288456</t>
  </si>
  <si>
    <t>GOSB420312HMSMVR09</t>
  </si>
  <si>
    <t>01594289132</t>
  </si>
  <si>
    <t>AACH420311HDFLCC03</t>
  </si>
  <si>
    <t>01594290098</t>
  </si>
  <si>
    <t>SOAA420903HDFMLN05</t>
  </si>
  <si>
    <t>01594290569</t>
  </si>
  <si>
    <t>ROGF421105HVZSVL08</t>
  </si>
  <si>
    <t>01594291799</t>
  </si>
  <si>
    <t>LOVF420928HVZYDR00</t>
  </si>
  <si>
    <t>01594294264</t>
  </si>
  <si>
    <t>LEPF420208HYNXRR02</t>
  </si>
  <si>
    <t>01594294769</t>
  </si>
  <si>
    <t>RALA420122MGTMPN08</t>
  </si>
  <si>
    <t>01594297614</t>
  </si>
  <si>
    <t>AUGA420827HDFGRL02</t>
  </si>
  <si>
    <t>01594300848</t>
  </si>
  <si>
    <t>ROSM430329HHGDLN00</t>
  </si>
  <si>
    <t>01594302828</t>
  </si>
  <si>
    <t>AAXR431003HGTYXF08</t>
  </si>
  <si>
    <t>01594303834</t>
  </si>
  <si>
    <t>CAPV430214HMCBXL09</t>
  </si>
  <si>
    <t>01594304154</t>
  </si>
  <si>
    <t>HUFA431023HPLRLG07</t>
  </si>
  <si>
    <t>01594304287</t>
  </si>
  <si>
    <t>ROHS430218HDFDRL08</t>
  </si>
  <si>
    <t>01594304329</t>
  </si>
  <si>
    <t>YOQJ430109HDFNNM01</t>
  </si>
  <si>
    <t>01594307199</t>
  </si>
  <si>
    <t>EEDI430117MHGSZR09</t>
  </si>
  <si>
    <t>01594308585</t>
  </si>
  <si>
    <t>TECF430713HDFRSL00</t>
  </si>
  <si>
    <t>01594309575</t>
  </si>
  <si>
    <t>VIHI421026HMNRRS01</t>
  </si>
  <si>
    <t>01594310466</t>
  </si>
  <si>
    <t>CACD430503HNLRBV07</t>
  </si>
  <si>
    <t>01594313577</t>
  </si>
  <si>
    <t>HEGH440508HDFRRR07</t>
  </si>
  <si>
    <t>01594313700</t>
  </si>
  <si>
    <t>LIJJ440609HDFMRS06</t>
  </si>
  <si>
    <t>01594317537</t>
  </si>
  <si>
    <t>SOGE430831HMCLRL03</t>
  </si>
  <si>
    <t>01594318410</t>
  </si>
  <si>
    <t>LALR430114HVZGPG06</t>
  </si>
  <si>
    <t>01594318451</t>
  </si>
  <si>
    <t>SEMR430612HDFRNY05</t>
  </si>
  <si>
    <t>01594321778</t>
  </si>
  <si>
    <t>PAMJ430429HDFDRS04</t>
  </si>
  <si>
    <t>01594322479</t>
  </si>
  <si>
    <t>JINJ430123HDFMCS04</t>
  </si>
  <si>
    <t>01594324343</t>
  </si>
  <si>
    <t>TOCG430301HDFRNL04</t>
  </si>
  <si>
    <t>01594324855</t>
  </si>
  <si>
    <t>UIRJ430619HMCRJL00</t>
  </si>
  <si>
    <t>01594325282</t>
  </si>
  <si>
    <t>PIGM430717HMCDLR00</t>
  </si>
  <si>
    <t>01594326025</t>
  </si>
  <si>
    <t>MOIE430714HMCNGL09</t>
  </si>
  <si>
    <t>01594326165</t>
  </si>
  <si>
    <t>UAGL430722HDFGTR00</t>
  </si>
  <si>
    <t>01594327528</t>
  </si>
  <si>
    <t>GARR430319HGTRDC09</t>
  </si>
  <si>
    <t>01594327635</t>
  </si>
  <si>
    <t>CUGM420602HHGRRR08</t>
  </si>
  <si>
    <t>01594329961</t>
  </si>
  <si>
    <t>TEHA430926HDFNRL05</t>
  </si>
  <si>
    <t>01594334581</t>
  </si>
  <si>
    <t>VACG431012HDFRHL09</t>
  </si>
  <si>
    <t>01594338103</t>
  </si>
  <si>
    <t>GOCO411211HDFNNC08</t>
  </si>
  <si>
    <t>01594341651</t>
  </si>
  <si>
    <t>GACS450122HDFRNL03</t>
  </si>
  <si>
    <t>01594342659</t>
  </si>
  <si>
    <t>DERG440108HGTLDL01</t>
  </si>
  <si>
    <t>01594342766</t>
  </si>
  <si>
    <t>MAGE430311HDFRRN03</t>
  </si>
  <si>
    <t>01594345454</t>
  </si>
  <si>
    <t>MOXT440803HDFRXM03</t>
  </si>
  <si>
    <t>01594345603</t>
  </si>
  <si>
    <t>CAZJ430128HDFSCL02</t>
  </si>
  <si>
    <t>01594347856</t>
  </si>
  <si>
    <t>MOEP430729HSPRSB08</t>
  </si>
  <si>
    <t>01594348995</t>
  </si>
  <si>
    <t>DIVE430910MMCZZS01</t>
  </si>
  <si>
    <t>01594349720</t>
  </si>
  <si>
    <t>PELF430116HOCRPL03</t>
  </si>
  <si>
    <t>01594351346</t>
  </si>
  <si>
    <t>ROCR440122HDFBND09</t>
  </si>
  <si>
    <t>01594354159</t>
  </si>
  <si>
    <t>CEER430608HYNTSB01</t>
  </si>
  <si>
    <t>01594356113</t>
  </si>
  <si>
    <t>AASR441215HDFRNB07</t>
  </si>
  <si>
    <t>01594357582</t>
  </si>
  <si>
    <t>LOYE430714HGTPPN08</t>
  </si>
  <si>
    <t>01594358077</t>
  </si>
  <si>
    <t>MAMA430108HMCRNP02</t>
  </si>
  <si>
    <t>01594358424</t>
  </si>
  <si>
    <t>ROML431119HPLMNP01</t>
  </si>
  <si>
    <t>01594360578</t>
  </si>
  <si>
    <t>MIRJ431204HDFRSS00</t>
  </si>
  <si>
    <t>01594360776</t>
  </si>
  <si>
    <t>OUVV431010MDFLLR04</t>
  </si>
  <si>
    <t>01594362681</t>
  </si>
  <si>
    <t>MEHP440429HTLNRD03</t>
  </si>
  <si>
    <t>01594364745</t>
  </si>
  <si>
    <t>COFM431006MDFRLR03</t>
  </si>
  <si>
    <t>01594366583</t>
  </si>
  <si>
    <t>HEST420123HDFRLR15</t>
  </si>
  <si>
    <t>01594367490</t>
  </si>
  <si>
    <t>SOAD430401HDFTLV03</t>
  </si>
  <si>
    <t>01594368936</t>
  </si>
  <si>
    <t>AAEC440306HDFLLR01</t>
  </si>
  <si>
    <t>01594369231</t>
  </si>
  <si>
    <t>RODE430128HDFMZR00</t>
  </si>
  <si>
    <t>01594404517</t>
  </si>
  <si>
    <t>GUHA440316HDFTRB06</t>
  </si>
  <si>
    <t>01594406439</t>
  </si>
  <si>
    <t>REZE440102HDFSRS04</t>
  </si>
  <si>
    <t>01594406728</t>
  </si>
  <si>
    <t>RURE440703MDFZDG02</t>
  </si>
  <si>
    <t>01594406884</t>
  </si>
  <si>
    <t>AATL440304HDFLRS07</t>
  </si>
  <si>
    <t>01594407171</t>
  </si>
  <si>
    <t>CASJ440624HDFNNN02</t>
  </si>
  <si>
    <t>01594407981</t>
  </si>
  <si>
    <t>NUSJ440715HMCXNL03</t>
  </si>
  <si>
    <t>01594408146</t>
  </si>
  <si>
    <t>BEHJ440412HDFNRL00</t>
  </si>
  <si>
    <t>01594410084</t>
  </si>
  <si>
    <t>MUFR440306MDFNLS09</t>
  </si>
  <si>
    <t>01594410266</t>
  </si>
  <si>
    <t>RASJ450103HDFMNN00</t>
  </si>
  <si>
    <t>01594413344</t>
  </si>
  <si>
    <t>MALL440514HHGRNS04</t>
  </si>
  <si>
    <t>01594414284</t>
  </si>
  <si>
    <t>FULG440121HGTNNL01</t>
  </si>
  <si>
    <t>01594415760</t>
  </si>
  <si>
    <t>HEDG440515MDFRZL06</t>
  </si>
  <si>
    <t>01594415943</t>
  </si>
  <si>
    <t>GAGC440604HDFRRR03</t>
  </si>
  <si>
    <t>01594417741</t>
  </si>
  <si>
    <t>REBI441217HGTYNS05</t>
  </si>
  <si>
    <t>01594418285</t>
  </si>
  <si>
    <t>VADL440106MDFZZC01</t>
  </si>
  <si>
    <t>01594419846</t>
  </si>
  <si>
    <t>NAVJ440702HDFBZR06</t>
  </si>
  <si>
    <t>01594420299</t>
  </si>
  <si>
    <t>VIAM440513HDFLLX00</t>
  </si>
  <si>
    <t>01594239103</t>
  </si>
  <si>
    <t>CAAJ421028HDFSVR09</t>
  </si>
  <si>
    <t>01594239483</t>
  </si>
  <si>
    <t>OOPL420309HDFRLS00</t>
  </si>
  <si>
    <t>01594242834</t>
  </si>
  <si>
    <t>VETS430619MCLLRC00</t>
  </si>
  <si>
    <t>01594244343</t>
  </si>
  <si>
    <t>AARA420528HGTLNG00</t>
  </si>
  <si>
    <t>01594245860</t>
  </si>
  <si>
    <t>LURM420912HOCNMG04</t>
  </si>
  <si>
    <t>01594247908</t>
  </si>
  <si>
    <t>BEGA420112HDFRLL03</t>
  </si>
  <si>
    <t>01594248609</t>
  </si>
  <si>
    <t>GOMC420506MNLMRR05</t>
  </si>
  <si>
    <t>01594250621</t>
  </si>
  <si>
    <t>TOSB440325MDFVTR09</t>
  </si>
  <si>
    <t>01594253054</t>
  </si>
  <si>
    <t>FOCL411102MDFLCR04</t>
  </si>
  <si>
    <t>01594258517</t>
  </si>
  <si>
    <t>EIHJ420509HMCSRN09</t>
  </si>
  <si>
    <t>VE</t>
  </si>
  <si>
    <t>CE</t>
  </si>
  <si>
    <t>VI</t>
  </si>
  <si>
    <t>IN</t>
  </si>
  <si>
    <t>IPP</t>
  </si>
  <si>
    <t>NSS</t>
  </si>
  <si>
    <t>CURP</t>
  </si>
  <si>
    <t>PENSION</t>
  </si>
  <si>
    <t>001188071</t>
  </si>
  <si>
    <t>001441513</t>
  </si>
  <si>
    <t>000978765
001156424</t>
  </si>
  <si>
    <t>001412989</t>
  </si>
  <si>
    <t>001446897</t>
  </si>
  <si>
    <t>Folio Préstamo RP</t>
  </si>
  <si>
    <t>Plazo</t>
  </si>
  <si>
    <t>Monto</t>
  </si>
  <si>
    <t>Desc Mensual</t>
  </si>
  <si>
    <t>30
60</t>
  </si>
  <si>
    <t>100
50</t>
  </si>
  <si>
    <t>{
    "historico":"1",
   "plazo":"60",
   "cat":"42",
   "cveTipoSimulacion":"2",
   "importeDescuentoMensual":"100",
   "folioSipre":"001446897"
  }</t>
  </si>
  <si>
    <t>{
    "historico":"1",
   "plazo":"6",
   "cat":"34",
   "importeMontoSolicitado":"10000.00",
   "cveTipoSimulacion":"1",
    "folioSipre":"001188071"
  }</t>
  </si>
  <si>
    <t>{
    "historico":"1",
   "plazo":"12",
   "cat":"42",
   "cveTipoSimulacion":"2",
   "importeDescuentoMensual":"200",
   "folioSipre":"001412989"
  }</t>
  </si>
  <si>
    <t>{
    "historico":"1",
   "plazo":"24",
   "cat":"40",
   "importeMontoSolicitado":"20000.00",
   "cveTipoSimulacion":"1",
    "folioSipre":"001441513"
  }</t>
  </si>
  <si>
    <t>{
    "historico":"1",
   "plazo":"30",
   "cat":"50",
   "cveTipoSimulacion":"2",
   "importeDescuentoMensual":"100",
   "folioSipre":"000978765"
  }
{
    "historico":"1",
   "plazo":"60",
   "cat":"48",
   "cveTipoSimulacion":"2",
   "importeDescuentoMensual":"50",
   "folioSipre":"001156424"
  }</t>
  </si>
  <si>
    <t>{
    "numMensualidad":"3",
    "folioSipre":"001188071"
  }</t>
  </si>
  <si>
    <t>{
    "numMensualidad":"5",
    "folioSipre":"001412989"
  }</t>
  </si>
  <si>
    <t>{
    "numMensualidad":"15",
    "folioSipre":"001441513"
  }</t>
  </si>
  <si>
    <t>{
    "numMensualidad":"10",
    "folioSipre":"001446897"
  }</t>
  </si>
  <si>
    <t>{
      "numMensualidad":"10",
   "folioSipre":"000978765"
  }
{
    "numMensualidad":"10",
   "folioSipre":"001156424"
  }</t>
  </si>
  <si>
    <t>registrarInsumosBase</t>
  </si>
  <si>
    <t>capitalInsoluto</t>
  </si>
  <si>
    <t>CveUsuario</t>
  </si>
  <si>
    <t>CvePerfil</t>
  </si>
  <si>
    <t>cvePersonalEF</t>
  </si>
  <si>
    <t>701 Promotores</t>
  </si>
  <si>
    <t>EURM710317HTSGMR04</t>
  </si>
  <si>
    <t>AIHJ720412HTSVRL06</t>
  </si>
  <si>
    <t>Periodo</t>
  </si>
  <si>
    <t>Saldo</t>
  </si>
  <si>
    <t xml:space="preserve">Capital </t>
  </si>
  <si>
    <t>Intereses</t>
  </si>
  <si>
    <t>IVA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</si>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</sst>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6"/>
      <color rgb="FF505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 applyFill="1"/>
    <xf numFmtId="0" fontId="0" fillId="0" borderId="0" xfId="0" applyFill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 applyAlignment="1">
      <alignment wrapText="1"/>
    </xf>
    <xf numFmtId="15" fontId="0" fillId="0" borderId="0" xfId="0" applyNumberFormat="1"/>
    <xf numFmtId="0" fontId="2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opLeftCell="A118" workbookViewId="0">
      <selection activeCell="E131" sqref="E131"/>
    </sheetView>
  </sheetViews>
  <sheetFormatPr defaultColWidth="10.90625" defaultRowHeight="14.5" x14ac:dyDescent="0.35"/>
  <cols>
    <col min="1" max="1" width="12" bestFit="1" customWidth="1"/>
    <col min="2" max="2" width="22.81640625" bestFit="1" customWidth="1"/>
  </cols>
  <sheetData>
    <row r="1" spans="1:3" x14ac:dyDescent="0.35">
      <c r="A1" t="s">
        <v>445</v>
      </c>
      <c r="B1" t="s">
        <v>446</v>
      </c>
      <c r="C1" t="s">
        <v>447</v>
      </c>
    </row>
    <row r="2" spans="1:3" x14ac:dyDescent="0.35">
      <c r="A2" s="1" t="s">
        <v>0</v>
      </c>
      <c r="B2" s="2" t="s">
        <v>1</v>
      </c>
      <c r="C2" t="s">
        <v>440</v>
      </c>
    </row>
    <row r="3" spans="1:3" x14ac:dyDescent="0.35">
      <c r="A3" s="1" t="s">
        <v>2</v>
      </c>
      <c r="B3" s="2" t="s">
        <v>3</v>
      </c>
      <c r="C3" t="s">
        <v>441</v>
      </c>
    </row>
    <row r="4" spans="1:3" x14ac:dyDescent="0.35">
      <c r="A4" s="1" t="s">
        <v>4</v>
      </c>
      <c r="B4" s="2" t="s">
        <v>5</v>
      </c>
      <c r="C4" t="s">
        <v>440</v>
      </c>
    </row>
    <row r="5" spans="1:3" x14ac:dyDescent="0.35">
      <c r="A5" s="1" t="s">
        <v>6</v>
      </c>
      <c r="B5" s="2" t="s">
        <v>7</v>
      </c>
      <c r="C5" t="s">
        <v>442</v>
      </c>
    </row>
    <row r="6" spans="1:3" x14ac:dyDescent="0.35">
      <c r="A6" s="1" t="s">
        <v>8</v>
      </c>
      <c r="B6" s="2" t="s">
        <v>9</v>
      </c>
      <c r="C6" t="s">
        <v>440</v>
      </c>
    </row>
    <row r="7" spans="1:3" x14ac:dyDescent="0.35">
      <c r="A7" s="1" t="s">
        <v>10</v>
      </c>
      <c r="B7" s="2" t="s">
        <v>11</v>
      </c>
      <c r="C7" t="s">
        <v>441</v>
      </c>
    </row>
    <row r="8" spans="1:3" x14ac:dyDescent="0.35">
      <c r="A8" s="1" t="s">
        <v>12</v>
      </c>
      <c r="B8" s="2" t="s">
        <v>13</v>
      </c>
      <c r="C8" t="s">
        <v>442</v>
      </c>
    </row>
    <row r="9" spans="1:3" x14ac:dyDescent="0.35">
      <c r="A9" s="1" t="s">
        <v>14</v>
      </c>
      <c r="B9" s="2" t="s">
        <v>15</v>
      </c>
      <c r="C9" t="s">
        <v>442</v>
      </c>
    </row>
    <row r="10" spans="1:3" x14ac:dyDescent="0.35">
      <c r="A10" s="1" t="s">
        <v>16</v>
      </c>
      <c r="B10" s="2" t="s">
        <v>17</v>
      </c>
      <c r="C10" t="s">
        <v>442</v>
      </c>
    </row>
    <row r="11" spans="1:3" x14ac:dyDescent="0.35">
      <c r="A11" s="1" t="s">
        <v>18</v>
      </c>
      <c r="B11" s="2" t="s">
        <v>19</v>
      </c>
      <c r="C11" t="s">
        <v>441</v>
      </c>
    </row>
    <row r="12" spans="1:3" x14ac:dyDescent="0.35">
      <c r="A12" s="1" t="s">
        <v>20</v>
      </c>
      <c r="B12" s="2" t="s">
        <v>21</v>
      </c>
      <c r="C12" t="s">
        <v>440</v>
      </c>
    </row>
    <row r="13" spans="1:3" x14ac:dyDescent="0.35">
      <c r="A13" s="1" t="s">
        <v>22</v>
      </c>
      <c r="B13" s="2" t="s">
        <v>23</v>
      </c>
      <c r="C13" t="s">
        <v>442</v>
      </c>
    </row>
    <row r="14" spans="1:3" x14ac:dyDescent="0.35">
      <c r="A14" s="1" t="s">
        <v>24</v>
      </c>
      <c r="B14" s="2" t="s">
        <v>25</v>
      </c>
      <c r="C14" t="s">
        <v>442</v>
      </c>
    </row>
    <row r="15" spans="1:3" x14ac:dyDescent="0.35">
      <c r="A15" s="1" t="s">
        <v>26</v>
      </c>
      <c r="B15" s="2" t="s">
        <v>27</v>
      </c>
      <c r="C15" t="s">
        <v>440</v>
      </c>
    </row>
    <row r="16" spans="1:3" x14ac:dyDescent="0.35">
      <c r="A16" s="1" t="s">
        <v>28</v>
      </c>
      <c r="B16" s="2" t="s">
        <v>29</v>
      </c>
      <c r="C16" t="s">
        <v>440</v>
      </c>
    </row>
    <row r="17" spans="1:3" x14ac:dyDescent="0.35">
      <c r="A17" s="1" t="s">
        <v>30</v>
      </c>
      <c r="B17" s="2" t="s">
        <v>31</v>
      </c>
      <c r="C17" t="s">
        <v>442</v>
      </c>
    </row>
    <row r="18" spans="1:3" x14ac:dyDescent="0.35">
      <c r="A18" s="1" t="s">
        <v>32</v>
      </c>
      <c r="B18" s="2" t="s">
        <v>33</v>
      </c>
      <c r="C18" t="s">
        <v>441</v>
      </c>
    </row>
    <row r="19" spans="1:3" x14ac:dyDescent="0.35">
      <c r="A19" s="1" t="s">
        <v>34</v>
      </c>
      <c r="B19" s="2" t="s">
        <v>35</v>
      </c>
      <c r="C19" t="s">
        <v>441</v>
      </c>
    </row>
    <row r="20" spans="1:3" x14ac:dyDescent="0.35">
      <c r="A20" s="1" t="s">
        <v>36</v>
      </c>
      <c r="B20" s="2" t="s">
        <v>37</v>
      </c>
      <c r="C20" t="s">
        <v>442</v>
      </c>
    </row>
    <row r="21" spans="1:3" x14ac:dyDescent="0.35">
      <c r="A21" s="1" t="s">
        <v>38</v>
      </c>
      <c r="B21" s="2" t="s">
        <v>39</v>
      </c>
      <c r="C21" t="s">
        <v>442</v>
      </c>
    </row>
    <row r="22" spans="1:3" x14ac:dyDescent="0.35">
      <c r="A22" s="1" t="s">
        <v>40</v>
      </c>
      <c r="B22" s="2" t="s">
        <v>41</v>
      </c>
      <c r="C22" t="s">
        <v>442</v>
      </c>
    </row>
    <row r="23" spans="1:3" x14ac:dyDescent="0.35">
      <c r="A23" s="1" t="s">
        <v>42</v>
      </c>
      <c r="B23" s="2" t="s">
        <v>43</v>
      </c>
      <c r="C23" t="s">
        <v>443</v>
      </c>
    </row>
    <row r="24" spans="1:3" x14ac:dyDescent="0.35">
      <c r="A24" s="1" t="s">
        <v>44</v>
      </c>
      <c r="B24" s="2" t="s">
        <v>45</v>
      </c>
      <c r="C24" t="s">
        <v>440</v>
      </c>
    </row>
    <row r="25" spans="1:3" x14ac:dyDescent="0.35">
      <c r="A25" s="1" t="s">
        <v>46</v>
      </c>
      <c r="B25" s="2" t="s">
        <v>47</v>
      </c>
      <c r="C25" t="s">
        <v>442</v>
      </c>
    </row>
    <row r="26" spans="1:3" x14ac:dyDescent="0.35">
      <c r="A26" s="1" t="s">
        <v>48</v>
      </c>
      <c r="B26" s="2" t="s">
        <v>49</v>
      </c>
      <c r="C26" t="s">
        <v>442</v>
      </c>
    </row>
    <row r="27" spans="1:3" x14ac:dyDescent="0.35">
      <c r="A27" s="1" t="s">
        <v>50</v>
      </c>
      <c r="B27" s="2" t="s">
        <v>51</v>
      </c>
      <c r="C27" t="s">
        <v>442</v>
      </c>
    </row>
    <row r="28" spans="1:3" x14ac:dyDescent="0.35">
      <c r="A28" s="1" t="s">
        <v>52</v>
      </c>
      <c r="B28" s="2" t="s">
        <v>53</v>
      </c>
      <c r="C28" t="s">
        <v>440</v>
      </c>
    </row>
    <row r="29" spans="1:3" x14ac:dyDescent="0.35">
      <c r="A29" s="1" t="s">
        <v>54</v>
      </c>
      <c r="B29" s="2" t="s">
        <v>55</v>
      </c>
      <c r="C29" t="s">
        <v>442</v>
      </c>
    </row>
    <row r="30" spans="1:3" x14ac:dyDescent="0.35">
      <c r="A30" s="1" t="s">
        <v>56</v>
      </c>
      <c r="B30" s="2" t="s">
        <v>57</v>
      </c>
      <c r="C30" t="s">
        <v>440</v>
      </c>
    </row>
    <row r="31" spans="1:3" x14ac:dyDescent="0.35">
      <c r="A31" s="1" t="s">
        <v>58</v>
      </c>
      <c r="B31" s="2" t="s">
        <v>59</v>
      </c>
      <c r="C31" t="s">
        <v>440</v>
      </c>
    </row>
    <row r="32" spans="1:3" x14ac:dyDescent="0.35">
      <c r="A32" s="1" t="s">
        <v>60</v>
      </c>
      <c r="B32" s="2" t="s">
        <v>61</v>
      </c>
      <c r="C32" t="s">
        <v>442</v>
      </c>
    </row>
    <row r="33" spans="1:3" x14ac:dyDescent="0.35">
      <c r="A33" s="1" t="s">
        <v>62</v>
      </c>
      <c r="B33" s="2" t="s">
        <v>63</v>
      </c>
      <c r="C33" t="s">
        <v>442</v>
      </c>
    </row>
    <row r="34" spans="1:3" x14ac:dyDescent="0.35">
      <c r="A34" s="1" t="s">
        <v>64</v>
      </c>
      <c r="B34" s="2" t="s">
        <v>65</v>
      </c>
      <c r="C34" t="s">
        <v>440</v>
      </c>
    </row>
    <row r="35" spans="1:3" x14ac:dyDescent="0.35">
      <c r="A35" s="1" t="s">
        <v>66</v>
      </c>
      <c r="B35" s="2" t="s">
        <v>67</v>
      </c>
      <c r="C35" t="s">
        <v>441</v>
      </c>
    </row>
    <row r="36" spans="1:3" x14ac:dyDescent="0.35">
      <c r="A36" s="1" t="s">
        <v>68</v>
      </c>
      <c r="B36" s="2" t="s">
        <v>69</v>
      </c>
      <c r="C36" t="s">
        <v>440</v>
      </c>
    </row>
    <row r="37" spans="1:3" x14ac:dyDescent="0.35">
      <c r="A37" s="1" t="s">
        <v>70</v>
      </c>
      <c r="B37" s="2" t="s">
        <v>71</v>
      </c>
      <c r="C37" t="s">
        <v>440</v>
      </c>
    </row>
    <row r="38" spans="1:3" x14ac:dyDescent="0.35">
      <c r="A38" s="1" t="s">
        <v>72</v>
      </c>
      <c r="B38" s="2" t="s">
        <v>73</v>
      </c>
      <c r="C38" t="s">
        <v>441</v>
      </c>
    </row>
    <row r="39" spans="1:3" x14ac:dyDescent="0.35">
      <c r="A39" s="1" t="s">
        <v>74</v>
      </c>
      <c r="B39" s="2" t="s">
        <v>75</v>
      </c>
      <c r="C39" t="s">
        <v>442</v>
      </c>
    </row>
    <row r="40" spans="1:3" x14ac:dyDescent="0.35">
      <c r="A40" s="1" t="s">
        <v>76</v>
      </c>
      <c r="B40" s="2" t="s">
        <v>77</v>
      </c>
      <c r="C40" t="s">
        <v>441</v>
      </c>
    </row>
    <row r="41" spans="1:3" x14ac:dyDescent="0.35">
      <c r="A41" s="1" t="s">
        <v>78</v>
      </c>
      <c r="B41" s="2" t="s">
        <v>79</v>
      </c>
      <c r="C41" t="s">
        <v>441</v>
      </c>
    </row>
    <row r="42" spans="1:3" x14ac:dyDescent="0.35">
      <c r="A42" s="1" t="s">
        <v>80</v>
      </c>
      <c r="B42" s="2" t="s">
        <v>81</v>
      </c>
      <c r="C42" t="s">
        <v>440</v>
      </c>
    </row>
    <row r="43" spans="1:3" x14ac:dyDescent="0.35">
      <c r="A43" s="1" t="s">
        <v>82</v>
      </c>
      <c r="B43" s="2" t="s">
        <v>83</v>
      </c>
      <c r="C43" t="s">
        <v>442</v>
      </c>
    </row>
    <row r="44" spans="1:3" x14ac:dyDescent="0.35">
      <c r="A44" s="1" t="s">
        <v>84</v>
      </c>
      <c r="B44" s="2" t="s">
        <v>85</v>
      </c>
      <c r="C44" t="s">
        <v>442</v>
      </c>
    </row>
    <row r="45" spans="1:3" x14ac:dyDescent="0.35">
      <c r="A45" s="1" t="s">
        <v>86</v>
      </c>
      <c r="B45" s="2" t="s">
        <v>87</v>
      </c>
      <c r="C45" t="s">
        <v>440</v>
      </c>
    </row>
    <row r="46" spans="1:3" x14ac:dyDescent="0.35">
      <c r="A46" s="1" t="s">
        <v>88</v>
      </c>
      <c r="B46" s="2" t="s">
        <v>89</v>
      </c>
      <c r="C46" t="s">
        <v>442</v>
      </c>
    </row>
    <row r="47" spans="1:3" x14ac:dyDescent="0.35">
      <c r="A47" s="1" t="s">
        <v>90</v>
      </c>
      <c r="B47" s="2" t="s">
        <v>91</v>
      </c>
      <c r="C47" t="s">
        <v>440</v>
      </c>
    </row>
    <row r="48" spans="1:3" x14ac:dyDescent="0.35">
      <c r="A48" s="1" t="s">
        <v>92</v>
      </c>
      <c r="B48" s="2" t="s">
        <v>93</v>
      </c>
      <c r="C48" t="s">
        <v>444</v>
      </c>
    </row>
    <row r="49" spans="1:3" x14ac:dyDescent="0.35">
      <c r="A49" s="1" t="s">
        <v>94</v>
      </c>
      <c r="B49" s="2" t="s">
        <v>95</v>
      </c>
      <c r="C49" t="s">
        <v>442</v>
      </c>
    </row>
    <row r="50" spans="1:3" x14ac:dyDescent="0.35">
      <c r="A50" s="1" t="s">
        <v>96</v>
      </c>
      <c r="B50" s="2" t="s">
        <v>97</v>
      </c>
      <c r="C50" t="s">
        <v>441</v>
      </c>
    </row>
    <row r="51" spans="1:3" x14ac:dyDescent="0.35">
      <c r="A51" s="1" t="s">
        <v>98</v>
      </c>
      <c r="B51" s="2" t="s">
        <v>99</v>
      </c>
      <c r="C51" t="s">
        <v>441</v>
      </c>
    </row>
    <row r="52" spans="1:3" x14ac:dyDescent="0.35">
      <c r="A52" s="1" t="s">
        <v>100</v>
      </c>
      <c r="B52" s="2" t="s">
        <v>101</v>
      </c>
      <c r="C52" t="s">
        <v>442</v>
      </c>
    </row>
    <row r="53" spans="1:3" x14ac:dyDescent="0.35">
      <c r="A53" s="1" t="s">
        <v>102</v>
      </c>
      <c r="B53" s="2" t="s">
        <v>103</v>
      </c>
      <c r="C53" t="s">
        <v>440</v>
      </c>
    </row>
    <row r="54" spans="1:3" x14ac:dyDescent="0.35">
      <c r="A54" s="1" t="s">
        <v>104</v>
      </c>
      <c r="B54" s="2" t="s">
        <v>105</v>
      </c>
      <c r="C54" t="s">
        <v>440</v>
      </c>
    </row>
    <row r="55" spans="1:3" x14ac:dyDescent="0.35">
      <c r="A55" s="1" t="s">
        <v>106</v>
      </c>
      <c r="B55" s="2" t="s">
        <v>107</v>
      </c>
      <c r="C55" t="s">
        <v>441</v>
      </c>
    </row>
    <row r="56" spans="1:3" x14ac:dyDescent="0.35">
      <c r="A56" s="1" t="s">
        <v>108</v>
      </c>
      <c r="B56" s="2" t="s">
        <v>109</v>
      </c>
      <c r="C56" t="s">
        <v>442</v>
      </c>
    </row>
    <row r="57" spans="1:3" x14ac:dyDescent="0.35">
      <c r="A57" s="1" t="s">
        <v>110</v>
      </c>
      <c r="B57" s="2" t="s">
        <v>111</v>
      </c>
      <c r="C57" t="s">
        <v>442</v>
      </c>
    </row>
    <row r="58" spans="1:3" x14ac:dyDescent="0.35">
      <c r="A58" s="1" t="s">
        <v>112</v>
      </c>
      <c r="B58" s="2" t="s">
        <v>113</v>
      </c>
      <c r="C58" t="s">
        <v>442</v>
      </c>
    </row>
    <row r="59" spans="1:3" x14ac:dyDescent="0.35">
      <c r="A59" s="1" t="s">
        <v>114</v>
      </c>
      <c r="B59" s="2" t="s">
        <v>115</v>
      </c>
      <c r="C59" t="s">
        <v>442</v>
      </c>
    </row>
    <row r="60" spans="1:3" x14ac:dyDescent="0.35">
      <c r="A60" s="1" t="s">
        <v>116</v>
      </c>
      <c r="B60" s="2" t="s">
        <v>117</v>
      </c>
      <c r="C60" t="s">
        <v>441</v>
      </c>
    </row>
    <row r="61" spans="1:3" x14ac:dyDescent="0.35">
      <c r="A61" s="1" t="s">
        <v>118</v>
      </c>
      <c r="B61" s="2" t="s">
        <v>119</v>
      </c>
      <c r="C61" t="s">
        <v>440</v>
      </c>
    </row>
    <row r="62" spans="1:3" x14ac:dyDescent="0.35">
      <c r="A62" s="1" t="s">
        <v>120</v>
      </c>
      <c r="B62" s="2" t="s">
        <v>121</v>
      </c>
      <c r="C62" t="s">
        <v>441</v>
      </c>
    </row>
    <row r="63" spans="1:3" x14ac:dyDescent="0.35">
      <c r="A63" s="1" t="s">
        <v>122</v>
      </c>
      <c r="B63" s="2" t="s">
        <v>123</v>
      </c>
      <c r="C63" t="s">
        <v>440</v>
      </c>
    </row>
    <row r="64" spans="1:3" x14ac:dyDescent="0.35">
      <c r="A64" s="1" t="s">
        <v>124</v>
      </c>
      <c r="B64" s="2" t="s">
        <v>125</v>
      </c>
      <c r="C64" t="s">
        <v>442</v>
      </c>
    </row>
    <row r="65" spans="1:3" x14ac:dyDescent="0.35">
      <c r="A65" s="1" t="s">
        <v>126</v>
      </c>
      <c r="B65" s="2" t="s">
        <v>127</v>
      </c>
      <c r="C65" t="s">
        <v>440</v>
      </c>
    </row>
    <row r="66" spans="1:3" x14ac:dyDescent="0.35">
      <c r="A66" s="1" t="s">
        <v>128</v>
      </c>
      <c r="B66" s="2" t="s">
        <v>129</v>
      </c>
      <c r="C66" t="s">
        <v>443</v>
      </c>
    </row>
    <row r="67" spans="1:3" x14ac:dyDescent="0.35">
      <c r="A67" s="1" t="s">
        <v>130</v>
      </c>
      <c r="B67" s="2" t="s">
        <v>131</v>
      </c>
      <c r="C67" t="s">
        <v>441</v>
      </c>
    </row>
    <row r="68" spans="1:3" x14ac:dyDescent="0.35">
      <c r="A68" s="1" t="s">
        <v>132</v>
      </c>
      <c r="B68" s="2" t="s">
        <v>133</v>
      </c>
      <c r="C68" t="s">
        <v>440</v>
      </c>
    </row>
    <row r="69" spans="1:3" x14ac:dyDescent="0.35">
      <c r="A69" s="1" t="s">
        <v>134</v>
      </c>
      <c r="B69" s="2" t="s">
        <v>135</v>
      </c>
      <c r="C69" t="s">
        <v>440</v>
      </c>
    </row>
    <row r="70" spans="1:3" x14ac:dyDescent="0.35">
      <c r="A70" s="1" t="s">
        <v>136</v>
      </c>
      <c r="B70" s="2" t="s">
        <v>137</v>
      </c>
      <c r="C70" t="s">
        <v>440</v>
      </c>
    </row>
    <row r="71" spans="1:3" x14ac:dyDescent="0.35">
      <c r="A71" s="1" t="s">
        <v>138</v>
      </c>
      <c r="B71" s="2" t="s">
        <v>139</v>
      </c>
      <c r="C71" t="s">
        <v>442</v>
      </c>
    </row>
    <row r="72" spans="1:3" x14ac:dyDescent="0.35">
      <c r="A72" s="1" t="s">
        <v>140</v>
      </c>
      <c r="B72" s="2" t="s">
        <v>141</v>
      </c>
      <c r="C72" t="s">
        <v>442</v>
      </c>
    </row>
    <row r="73" spans="1:3" x14ac:dyDescent="0.35">
      <c r="A73" s="1" t="s">
        <v>142</v>
      </c>
      <c r="B73" s="2" t="s">
        <v>143</v>
      </c>
      <c r="C73" t="s">
        <v>442</v>
      </c>
    </row>
    <row r="74" spans="1:3" x14ac:dyDescent="0.35">
      <c r="A74" s="1" t="s">
        <v>144</v>
      </c>
      <c r="B74" s="2" t="s">
        <v>145</v>
      </c>
      <c r="C74" t="s">
        <v>440</v>
      </c>
    </row>
    <row r="75" spans="1:3" x14ac:dyDescent="0.35">
      <c r="A75" s="1" t="s">
        <v>146</v>
      </c>
      <c r="B75" s="2" t="s">
        <v>147</v>
      </c>
      <c r="C75" t="s">
        <v>440</v>
      </c>
    </row>
    <row r="76" spans="1:3" x14ac:dyDescent="0.35">
      <c r="A76" s="1" t="s">
        <v>148</v>
      </c>
      <c r="B76" s="2" t="s">
        <v>149</v>
      </c>
      <c r="C76" t="s">
        <v>442</v>
      </c>
    </row>
    <row r="77" spans="1:3" x14ac:dyDescent="0.35">
      <c r="A77" s="1" t="s">
        <v>150</v>
      </c>
      <c r="B77" s="2" t="s">
        <v>151</v>
      </c>
      <c r="C77" t="s">
        <v>442</v>
      </c>
    </row>
    <row r="78" spans="1:3" x14ac:dyDescent="0.35">
      <c r="A78" s="1" t="s">
        <v>152</v>
      </c>
      <c r="B78" s="2" t="s">
        <v>153</v>
      </c>
      <c r="C78" t="s">
        <v>442</v>
      </c>
    </row>
    <row r="79" spans="1:3" x14ac:dyDescent="0.35">
      <c r="A79" s="1" t="s">
        <v>154</v>
      </c>
      <c r="B79" s="2" t="s">
        <v>155</v>
      </c>
      <c r="C79" t="s">
        <v>442</v>
      </c>
    </row>
    <row r="80" spans="1:3" x14ac:dyDescent="0.35">
      <c r="A80" s="1" t="s">
        <v>156</v>
      </c>
      <c r="B80" s="2" t="s">
        <v>157</v>
      </c>
      <c r="C80" t="s">
        <v>441</v>
      </c>
    </row>
    <row r="81" spans="1:3" x14ac:dyDescent="0.35">
      <c r="A81" s="1" t="s">
        <v>158</v>
      </c>
      <c r="B81" s="2" t="s">
        <v>159</v>
      </c>
      <c r="C81" t="s">
        <v>442</v>
      </c>
    </row>
    <row r="82" spans="1:3" x14ac:dyDescent="0.35">
      <c r="A82" s="1" t="s">
        <v>160</v>
      </c>
      <c r="B82" s="2" t="s">
        <v>161</v>
      </c>
      <c r="C82" t="s">
        <v>440</v>
      </c>
    </row>
    <row r="83" spans="1:3" x14ac:dyDescent="0.35">
      <c r="A83" s="1" t="s">
        <v>162</v>
      </c>
      <c r="B83" s="2" t="s">
        <v>163</v>
      </c>
      <c r="C83" t="s">
        <v>441</v>
      </c>
    </row>
    <row r="84" spans="1:3" x14ac:dyDescent="0.35">
      <c r="A84" s="1" t="s">
        <v>164</v>
      </c>
      <c r="B84" s="2" t="s">
        <v>165</v>
      </c>
      <c r="C84" t="s">
        <v>442</v>
      </c>
    </row>
    <row r="85" spans="1:3" x14ac:dyDescent="0.35">
      <c r="A85" s="1" t="s">
        <v>166</v>
      </c>
      <c r="B85" s="2" t="s">
        <v>167</v>
      </c>
      <c r="C85" t="s">
        <v>441</v>
      </c>
    </row>
    <row r="86" spans="1:3" x14ac:dyDescent="0.35">
      <c r="A86" s="1" t="s">
        <v>168</v>
      </c>
      <c r="B86" s="2" t="s">
        <v>169</v>
      </c>
      <c r="C86" t="s">
        <v>441</v>
      </c>
    </row>
    <row r="87" spans="1:3" x14ac:dyDescent="0.35">
      <c r="A87" s="1" t="s">
        <v>170</v>
      </c>
      <c r="B87" s="2" t="s">
        <v>171</v>
      </c>
      <c r="C87" t="s">
        <v>440</v>
      </c>
    </row>
    <row r="88" spans="1:3" x14ac:dyDescent="0.35">
      <c r="A88" s="1" t="s">
        <v>172</v>
      </c>
      <c r="B88" s="2" t="s">
        <v>173</v>
      </c>
      <c r="C88" t="s">
        <v>441</v>
      </c>
    </row>
    <row r="89" spans="1:3" x14ac:dyDescent="0.35">
      <c r="A89" s="1" t="s">
        <v>174</v>
      </c>
      <c r="B89" s="2" t="s">
        <v>175</v>
      </c>
      <c r="C89" t="e">
        <v>#N/A</v>
      </c>
    </row>
    <row r="90" spans="1:3" x14ac:dyDescent="0.35">
      <c r="A90" s="1" t="s">
        <v>176</v>
      </c>
      <c r="B90" s="2" t="s">
        <v>177</v>
      </c>
      <c r="C90" t="s">
        <v>440</v>
      </c>
    </row>
    <row r="91" spans="1:3" x14ac:dyDescent="0.35">
      <c r="A91" s="1" t="s">
        <v>178</v>
      </c>
      <c r="B91" s="2" t="s">
        <v>179</v>
      </c>
      <c r="C91" t="s">
        <v>440</v>
      </c>
    </row>
    <row r="92" spans="1:3" x14ac:dyDescent="0.35">
      <c r="A92" s="1" t="s">
        <v>180</v>
      </c>
      <c r="B92" s="2" t="s">
        <v>181</v>
      </c>
      <c r="C92" t="s">
        <v>444</v>
      </c>
    </row>
    <row r="93" spans="1:3" x14ac:dyDescent="0.35">
      <c r="A93" s="1" t="s">
        <v>182</v>
      </c>
      <c r="B93" s="2" t="s">
        <v>183</v>
      </c>
      <c r="C93" t="s">
        <v>441</v>
      </c>
    </row>
    <row r="94" spans="1:3" x14ac:dyDescent="0.35">
      <c r="A94" s="1" t="s">
        <v>184</v>
      </c>
      <c r="B94" s="2" t="s">
        <v>185</v>
      </c>
      <c r="C94" t="s">
        <v>442</v>
      </c>
    </row>
    <row r="95" spans="1:3" x14ac:dyDescent="0.35">
      <c r="A95" s="1" t="s">
        <v>186</v>
      </c>
      <c r="B95" s="2" t="s">
        <v>187</v>
      </c>
      <c r="C95" t="s">
        <v>441</v>
      </c>
    </row>
    <row r="96" spans="1:3" x14ac:dyDescent="0.35">
      <c r="A96" s="1" t="s">
        <v>188</v>
      </c>
      <c r="B96" s="2" t="s">
        <v>189</v>
      </c>
      <c r="C96" t="s">
        <v>441</v>
      </c>
    </row>
    <row r="97" spans="1:3" x14ac:dyDescent="0.35">
      <c r="A97" s="1" t="s">
        <v>190</v>
      </c>
      <c r="B97" s="2" t="s">
        <v>191</v>
      </c>
      <c r="C97" t="s">
        <v>442</v>
      </c>
    </row>
    <row r="98" spans="1:3" x14ac:dyDescent="0.35">
      <c r="A98" s="1" t="s">
        <v>192</v>
      </c>
      <c r="B98" s="2" t="s">
        <v>193</v>
      </c>
      <c r="C98" t="s">
        <v>441</v>
      </c>
    </row>
    <row r="99" spans="1:3" x14ac:dyDescent="0.35">
      <c r="A99" s="1" t="s">
        <v>194</v>
      </c>
      <c r="B99" s="2" t="s">
        <v>195</v>
      </c>
      <c r="C99" t="s">
        <v>441</v>
      </c>
    </row>
    <row r="100" spans="1:3" x14ac:dyDescent="0.35">
      <c r="A100" s="1" t="s">
        <v>196</v>
      </c>
      <c r="B100" s="2" t="s">
        <v>197</v>
      </c>
      <c r="C100" t="s">
        <v>442</v>
      </c>
    </row>
    <row r="101" spans="1:3" x14ac:dyDescent="0.35">
      <c r="A101" s="1" t="s">
        <v>198</v>
      </c>
      <c r="B101" s="2" t="s">
        <v>199</v>
      </c>
      <c r="C101" t="s">
        <v>442</v>
      </c>
    </row>
    <row r="102" spans="1:3" x14ac:dyDescent="0.35">
      <c r="A102" s="1" t="s">
        <v>200</v>
      </c>
      <c r="B102" s="2" t="s">
        <v>201</v>
      </c>
      <c r="C102" t="s">
        <v>440</v>
      </c>
    </row>
    <row r="103" spans="1:3" x14ac:dyDescent="0.35">
      <c r="A103" s="1" t="s">
        <v>202</v>
      </c>
      <c r="B103" s="2" t="s">
        <v>203</v>
      </c>
      <c r="C103" t="s">
        <v>442</v>
      </c>
    </row>
    <row r="104" spans="1:3" x14ac:dyDescent="0.35">
      <c r="A104" s="1" t="s">
        <v>204</v>
      </c>
      <c r="B104" s="2" t="s">
        <v>205</v>
      </c>
      <c r="C104" t="s">
        <v>440</v>
      </c>
    </row>
    <row r="105" spans="1:3" x14ac:dyDescent="0.35">
      <c r="A105" s="1" t="s">
        <v>206</v>
      </c>
      <c r="B105" s="2" t="s">
        <v>207</v>
      </c>
      <c r="C105" t="s">
        <v>440</v>
      </c>
    </row>
    <row r="106" spans="1:3" x14ac:dyDescent="0.35">
      <c r="A106" s="1" t="s">
        <v>208</v>
      </c>
      <c r="B106" s="2" t="s">
        <v>209</v>
      </c>
      <c r="C106" t="s">
        <v>442</v>
      </c>
    </row>
    <row r="107" spans="1:3" x14ac:dyDescent="0.35">
      <c r="A107" s="1" t="s">
        <v>210</v>
      </c>
      <c r="B107" s="2" t="s">
        <v>211</v>
      </c>
      <c r="C107" t="s">
        <v>441</v>
      </c>
    </row>
    <row r="108" spans="1:3" x14ac:dyDescent="0.35">
      <c r="A108" s="1" t="s">
        <v>212</v>
      </c>
      <c r="B108" s="2" t="s">
        <v>213</v>
      </c>
      <c r="C108" t="s">
        <v>440</v>
      </c>
    </row>
    <row r="109" spans="1:3" x14ac:dyDescent="0.35">
      <c r="A109" s="1" t="s">
        <v>214</v>
      </c>
      <c r="B109" s="2" t="s">
        <v>215</v>
      </c>
      <c r="C109" t="s">
        <v>440</v>
      </c>
    </row>
    <row r="110" spans="1:3" x14ac:dyDescent="0.35">
      <c r="A110" s="1" t="s">
        <v>216</v>
      </c>
      <c r="B110" s="2" t="s">
        <v>217</v>
      </c>
      <c r="C110" t="s">
        <v>441</v>
      </c>
    </row>
    <row r="111" spans="1:3" x14ac:dyDescent="0.35">
      <c r="A111" s="1" t="s">
        <v>218</v>
      </c>
      <c r="B111" s="2" t="s">
        <v>219</v>
      </c>
      <c r="C111" t="s">
        <v>440</v>
      </c>
    </row>
    <row r="112" spans="1:3" x14ac:dyDescent="0.35">
      <c r="A112" s="1" t="s">
        <v>220</v>
      </c>
      <c r="B112" s="2" t="s">
        <v>221</v>
      </c>
      <c r="C112" t="s">
        <v>441</v>
      </c>
    </row>
    <row r="113" spans="1:3" x14ac:dyDescent="0.35">
      <c r="A113" s="1" t="s">
        <v>222</v>
      </c>
      <c r="B113" s="2" t="s">
        <v>223</v>
      </c>
      <c r="C113" t="s">
        <v>442</v>
      </c>
    </row>
    <row r="114" spans="1:3" x14ac:dyDescent="0.35">
      <c r="A114" s="1" t="s">
        <v>224</v>
      </c>
      <c r="B114" s="2" t="s">
        <v>225</v>
      </c>
      <c r="C114" t="s">
        <v>441</v>
      </c>
    </row>
    <row r="115" spans="1:3" x14ac:dyDescent="0.35">
      <c r="A115" s="1" t="s">
        <v>226</v>
      </c>
      <c r="B115" s="2" t="s">
        <v>227</v>
      </c>
      <c r="C115" t="s">
        <v>440</v>
      </c>
    </row>
    <row r="116" spans="1:3" x14ac:dyDescent="0.35">
      <c r="A116" s="1" t="s">
        <v>228</v>
      </c>
      <c r="B116" s="2" t="s">
        <v>229</v>
      </c>
      <c r="C116" t="s">
        <v>442</v>
      </c>
    </row>
    <row r="117" spans="1:3" x14ac:dyDescent="0.35">
      <c r="A117" s="1" t="s">
        <v>230</v>
      </c>
      <c r="B117" s="2" t="s">
        <v>231</v>
      </c>
      <c r="C117" t="s">
        <v>442</v>
      </c>
    </row>
    <row r="118" spans="1:3" x14ac:dyDescent="0.35">
      <c r="A118" s="1" t="s">
        <v>232</v>
      </c>
      <c r="B118" s="2" t="s">
        <v>233</v>
      </c>
      <c r="C118" t="s">
        <v>442</v>
      </c>
    </row>
    <row r="119" spans="1:3" x14ac:dyDescent="0.35">
      <c r="A119" s="1" t="s">
        <v>234</v>
      </c>
      <c r="B119" s="2" t="s">
        <v>235</v>
      </c>
      <c r="C119" t="s">
        <v>440</v>
      </c>
    </row>
    <row r="120" spans="1:3" x14ac:dyDescent="0.35">
      <c r="A120" s="1" t="s">
        <v>236</v>
      </c>
      <c r="B120" s="2" t="s">
        <v>237</v>
      </c>
      <c r="C120" t="s">
        <v>442</v>
      </c>
    </row>
    <row r="121" spans="1:3" x14ac:dyDescent="0.35">
      <c r="A121" s="1" t="s">
        <v>238</v>
      </c>
      <c r="B121" s="2" t="s">
        <v>239</v>
      </c>
      <c r="C121" t="s">
        <v>440</v>
      </c>
    </row>
  </sheetData>
  <autoFilter ref="A1:C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pane ySplit="1" topLeftCell="A2" activePane="bottomLeft" state="frozen"/>
      <selection activeCell="D1" sqref="D1"/>
      <selection pane="bottomLeft" activeCell="H3" sqref="H3"/>
    </sheetView>
  </sheetViews>
  <sheetFormatPr defaultColWidth="10.90625" defaultRowHeight="14.5" x14ac:dyDescent="0.35"/>
  <cols>
    <col min="1" max="1" width="12" bestFit="1" customWidth="1"/>
    <col min="2" max="2" width="23.1796875" bestFit="1" customWidth="1"/>
    <col min="3" max="3" width="11.26953125" bestFit="1" customWidth="1"/>
    <col min="4" max="4" width="21.453125" customWidth="1"/>
    <col min="6" max="6" width="13.54296875" customWidth="1"/>
    <col min="7" max="7" width="12.36328125" bestFit="1" customWidth="1"/>
    <col min="8" max="8" width="58" customWidth="1"/>
    <col min="9" max="9" width="50.81640625" customWidth="1"/>
  </cols>
  <sheetData>
    <row r="1" spans="1:9" x14ac:dyDescent="0.35">
      <c r="A1" s="7" t="s">
        <v>445</v>
      </c>
      <c r="B1" s="7" t="s">
        <v>446</v>
      </c>
      <c r="C1" s="7" t="s">
        <v>447</v>
      </c>
      <c r="D1" s="7" t="s">
        <v>453</v>
      </c>
      <c r="E1" s="8" t="s">
        <v>454</v>
      </c>
      <c r="F1" s="8" t="s">
        <v>455</v>
      </c>
      <c r="G1" s="8" t="s">
        <v>456</v>
      </c>
      <c r="H1" s="8" t="s">
        <v>469</v>
      </c>
      <c r="I1" s="8" t="s">
        <v>470</v>
      </c>
    </row>
    <row r="2" spans="1:9" ht="65.5" x14ac:dyDescent="0.35">
      <c r="A2" s="4" t="s">
        <v>350</v>
      </c>
      <c r="B2" s="3" t="s">
        <v>351</v>
      </c>
      <c r="C2" s="5" t="s">
        <v>441</v>
      </c>
      <c r="D2" s="4" t="s">
        <v>448</v>
      </c>
      <c r="E2">
        <v>6</v>
      </c>
      <c r="F2">
        <v>10000</v>
      </c>
      <c r="H2" s="9" t="s">
        <v>460</v>
      </c>
      <c r="I2" s="9" t="s">
        <v>464</v>
      </c>
    </row>
    <row r="3" spans="1:9" ht="65.5" x14ac:dyDescent="0.35">
      <c r="A3" s="4" t="s">
        <v>422</v>
      </c>
      <c r="B3" s="3" t="s">
        <v>423</v>
      </c>
      <c r="C3" s="5" t="s">
        <v>441</v>
      </c>
      <c r="D3" s="4" t="s">
        <v>451</v>
      </c>
      <c r="E3">
        <v>12</v>
      </c>
      <c r="G3">
        <v>200</v>
      </c>
      <c r="H3" s="9" t="s">
        <v>461</v>
      </c>
      <c r="I3" s="9" t="s">
        <v>465</v>
      </c>
    </row>
    <row r="4" spans="1:9" ht="65.5" x14ac:dyDescent="0.35">
      <c r="A4" s="4" t="s">
        <v>376</v>
      </c>
      <c r="B4" s="3" t="s">
        <v>377</v>
      </c>
      <c r="C4" s="5" t="s">
        <v>441</v>
      </c>
      <c r="D4" s="4" t="s">
        <v>449</v>
      </c>
      <c r="E4">
        <v>24</v>
      </c>
      <c r="F4">
        <v>20000</v>
      </c>
      <c r="H4" s="9" t="s">
        <v>462</v>
      </c>
      <c r="I4" s="9" t="s">
        <v>466</v>
      </c>
    </row>
    <row r="5" spans="1:9" ht="65.5" x14ac:dyDescent="0.35">
      <c r="A5" s="4" t="s">
        <v>426</v>
      </c>
      <c r="B5" s="3" t="s">
        <v>427</v>
      </c>
      <c r="C5" s="5" t="s">
        <v>441</v>
      </c>
      <c r="D5" s="4" t="s">
        <v>452</v>
      </c>
      <c r="E5">
        <v>60</v>
      </c>
      <c r="G5">
        <v>100</v>
      </c>
      <c r="H5" s="9" t="s">
        <v>459</v>
      </c>
      <c r="I5" s="9" t="s">
        <v>467</v>
      </c>
    </row>
    <row r="6" spans="1:9" ht="137.5" x14ac:dyDescent="0.35">
      <c r="A6" s="4" t="s">
        <v>420</v>
      </c>
      <c r="B6" s="3" t="s">
        <v>421</v>
      </c>
      <c r="C6" s="5" t="s">
        <v>441</v>
      </c>
      <c r="D6" s="6" t="s">
        <v>450</v>
      </c>
      <c r="E6" s="6" t="s">
        <v>457</v>
      </c>
      <c r="G6" s="6" t="s">
        <v>458</v>
      </c>
      <c r="H6" s="9" t="s">
        <v>463</v>
      </c>
      <c r="I6" s="9" t="s">
        <v>468</v>
      </c>
    </row>
    <row r="7" spans="1:9" x14ac:dyDescent="0.35">
      <c r="A7" s="4" t="s">
        <v>424</v>
      </c>
      <c r="B7" s="3" t="s">
        <v>425</v>
      </c>
      <c r="C7" s="5" t="s">
        <v>441</v>
      </c>
      <c r="D7" s="3"/>
    </row>
    <row r="8" spans="1:9" x14ac:dyDescent="0.35">
      <c r="A8" s="4" t="s">
        <v>428</v>
      </c>
      <c r="B8" s="3" t="s">
        <v>429</v>
      </c>
      <c r="C8" s="5" t="s">
        <v>441</v>
      </c>
      <c r="D8" s="3"/>
    </row>
    <row r="9" spans="1:9" x14ac:dyDescent="0.35">
      <c r="A9" s="4" t="s">
        <v>430</v>
      </c>
      <c r="B9" s="3" t="s">
        <v>431</v>
      </c>
      <c r="C9" s="5" t="s">
        <v>442</v>
      </c>
      <c r="D9" s="3"/>
    </row>
    <row r="10" spans="1:9" x14ac:dyDescent="0.35">
      <c r="A10" s="4" t="s">
        <v>432</v>
      </c>
      <c r="B10" s="3" t="s">
        <v>433</v>
      </c>
      <c r="C10" s="5" t="s">
        <v>441</v>
      </c>
      <c r="D10" s="3"/>
    </row>
    <row r="11" spans="1:9" x14ac:dyDescent="0.35">
      <c r="A11" s="4" t="s">
        <v>434</v>
      </c>
      <c r="B11" s="3" t="s">
        <v>435</v>
      </c>
      <c r="C11" s="5" t="s">
        <v>441</v>
      </c>
      <c r="D11" s="3"/>
    </row>
    <row r="12" spans="1:9" x14ac:dyDescent="0.35">
      <c r="A12" s="4" t="s">
        <v>436</v>
      </c>
      <c r="B12" s="3" t="s">
        <v>437</v>
      </c>
      <c r="C12" s="5" t="e">
        <v>#N/A</v>
      </c>
      <c r="D12" s="3"/>
    </row>
    <row r="13" spans="1:9" x14ac:dyDescent="0.35">
      <c r="A13" s="4" t="s">
        <v>438</v>
      </c>
      <c r="B13" s="3" t="s">
        <v>439</v>
      </c>
      <c r="C13" s="5" t="e">
        <v>#N/A</v>
      </c>
      <c r="D13" s="3"/>
    </row>
    <row r="14" spans="1:9" x14ac:dyDescent="0.35">
      <c r="A14" s="4" t="s">
        <v>240</v>
      </c>
      <c r="B14" s="3" t="s">
        <v>241</v>
      </c>
      <c r="C14" s="5" t="s">
        <v>441</v>
      </c>
      <c r="D14" s="3"/>
    </row>
    <row r="15" spans="1:9" x14ac:dyDescent="0.35">
      <c r="A15" s="4" t="s">
        <v>242</v>
      </c>
      <c r="B15" s="3" t="s">
        <v>243</v>
      </c>
      <c r="C15" s="5" t="s">
        <v>441</v>
      </c>
      <c r="D15" s="3"/>
    </row>
    <row r="16" spans="1:9" x14ac:dyDescent="0.35">
      <c r="A16" s="4" t="s">
        <v>244</v>
      </c>
      <c r="B16" s="3" t="s">
        <v>245</v>
      </c>
      <c r="C16" s="5" t="s">
        <v>441</v>
      </c>
      <c r="D16" s="3"/>
    </row>
    <row r="17" spans="1:4" x14ac:dyDescent="0.35">
      <c r="A17" s="4" t="s">
        <v>246</v>
      </c>
      <c r="B17" s="3" t="s">
        <v>247</v>
      </c>
      <c r="C17" s="5" t="s">
        <v>441</v>
      </c>
      <c r="D17" s="3"/>
    </row>
    <row r="18" spans="1:4" x14ac:dyDescent="0.35">
      <c r="A18" s="4" t="s">
        <v>248</v>
      </c>
      <c r="B18" s="3" t="s">
        <v>249</v>
      </c>
      <c r="C18" s="5" t="s">
        <v>443</v>
      </c>
      <c r="D18" s="3"/>
    </row>
    <row r="19" spans="1:4" x14ac:dyDescent="0.35">
      <c r="A19" s="4" t="s">
        <v>250</v>
      </c>
      <c r="B19" s="3" t="s">
        <v>251</v>
      </c>
      <c r="C19" s="5" t="s">
        <v>442</v>
      </c>
      <c r="D19" s="3"/>
    </row>
    <row r="20" spans="1:4" x14ac:dyDescent="0.35">
      <c r="A20" s="4" t="s">
        <v>252</v>
      </c>
      <c r="B20" s="3" t="s">
        <v>253</v>
      </c>
      <c r="C20" s="5" t="s">
        <v>441</v>
      </c>
      <c r="D20" s="3"/>
    </row>
    <row r="21" spans="1:4" x14ac:dyDescent="0.35">
      <c r="A21" s="4" t="s">
        <v>254</v>
      </c>
      <c r="B21" s="3" t="s">
        <v>255</v>
      </c>
      <c r="C21" s="5" t="s">
        <v>441</v>
      </c>
      <c r="D21" s="3"/>
    </row>
    <row r="22" spans="1:4" x14ac:dyDescent="0.35">
      <c r="A22" s="4" t="s">
        <v>256</v>
      </c>
      <c r="B22" s="3" t="s">
        <v>257</v>
      </c>
      <c r="C22" s="5" t="s">
        <v>443</v>
      </c>
      <c r="D22" s="3"/>
    </row>
    <row r="23" spans="1:4" x14ac:dyDescent="0.35">
      <c r="A23" s="4" t="s">
        <v>258</v>
      </c>
      <c r="B23" s="3" t="s">
        <v>259</v>
      </c>
      <c r="C23" s="5" t="s">
        <v>443</v>
      </c>
      <c r="D23" s="3"/>
    </row>
    <row r="24" spans="1:4" x14ac:dyDescent="0.35">
      <c r="A24" s="4" t="s">
        <v>260</v>
      </c>
      <c r="B24" s="3" t="s">
        <v>261</v>
      </c>
      <c r="C24" s="5" t="s">
        <v>441</v>
      </c>
      <c r="D24" s="3"/>
    </row>
    <row r="25" spans="1:4" x14ac:dyDescent="0.35">
      <c r="A25" s="4" t="s">
        <v>262</v>
      </c>
      <c r="B25" s="3" t="s">
        <v>263</v>
      </c>
      <c r="C25" s="5" t="s">
        <v>441</v>
      </c>
      <c r="D25" s="3"/>
    </row>
    <row r="26" spans="1:4" x14ac:dyDescent="0.35">
      <c r="A26" s="4" t="s">
        <v>264</v>
      </c>
      <c r="B26" s="3" t="s">
        <v>265</v>
      </c>
      <c r="C26" s="5" t="s">
        <v>441</v>
      </c>
      <c r="D26" s="3"/>
    </row>
    <row r="27" spans="1:4" x14ac:dyDescent="0.35">
      <c r="A27" s="4" t="s">
        <v>266</v>
      </c>
      <c r="B27" s="3" t="s">
        <v>267</v>
      </c>
      <c r="C27" s="5" t="s">
        <v>441</v>
      </c>
      <c r="D27" s="3"/>
    </row>
    <row r="28" spans="1:4" x14ac:dyDescent="0.35">
      <c r="A28" s="4" t="s">
        <v>268</v>
      </c>
      <c r="B28" s="3" t="s">
        <v>269</v>
      </c>
      <c r="C28" s="5" t="s">
        <v>441</v>
      </c>
      <c r="D28" s="3"/>
    </row>
    <row r="29" spans="1:4" x14ac:dyDescent="0.35">
      <c r="A29" s="4" t="s">
        <v>270</v>
      </c>
      <c r="B29" s="3" t="s">
        <v>271</v>
      </c>
      <c r="C29" s="5" t="s">
        <v>441</v>
      </c>
      <c r="D29" s="3"/>
    </row>
    <row r="30" spans="1:4" x14ac:dyDescent="0.35">
      <c r="A30" s="4" t="s">
        <v>272</v>
      </c>
      <c r="B30" s="3" t="s">
        <v>273</v>
      </c>
      <c r="C30" s="5" t="s">
        <v>441</v>
      </c>
      <c r="D30" s="3"/>
    </row>
    <row r="31" spans="1:4" x14ac:dyDescent="0.35">
      <c r="A31" s="4" t="s">
        <v>274</v>
      </c>
      <c r="B31" s="3" t="s">
        <v>275</v>
      </c>
      <c r="C31" s="5" t="s">
        <v>441</v>
      </c>
      <c r="D31" s="3"/>
    </row>
    <row r="32" spans="1:4" x14ac:dyDescent="0.35">
      <c r="A32" s="4" t="s">
        <v>276</v>
      </c>
      <c r="B32" s="3" t="s">
        <v>277</v>
      </c>
      <c r="C32" s="5" t="s">
        <v>441</v>
      </c>
      <c r="D32" s="3"/>
    </row>
    <row r="33" spans="1:4" x14ac:dyDescent="0.35">
      <c r="A33" s="4" t="s">
        <v>278</v>
      </c>
      <c r="B33" s="3" t="s">
        <v>279</v>
      </c>
      <c r="C33" s="5" t="s">
        <v>444</v>
      </c>
      <c r="D33" s="3"/>
    </row>
    <row r="34" spans="1:4" x14ac:dyDescent="0.35">
      <c r="A34" s="4" t="s">
        <v>280</v>
      </c>
      <c r="B34" s="3" t="s">
        <v>281</v>
      </c>
      <c r="C34" s="5" t="e">
        <v>#N/A</v>
      </c>
      <c r="D34" s="3"/>
    </row>
    <row r="35" spans="1:4" x14ac:dyDescent="0.35">
      <c r="A35" s="4" t="s">
        <v>282</v>
      </c>
      <c r="B35" s="3" t="s">
        <v>283</v>
      </c>
      <c r="C35" s="5" t="s">
        <v>442</v>
      </c>
      <c r="D35" s="3"/>
    </row>
    <row r="36" spans="1:4" x14ac:dyDescent="0.35">
      <c r="A36" s="4" t="s">
        <v>284</v>
      </c>
      <c r="B36" s="3" t="s">
        <v>285</v>
      </c>
      <c r="C36" s="5" t="s">
        <v>441</v>
      </c>
      <c r="D36" s="3"/>
    </row>
    <row r="37" spans="1:4" x14ac:dyDescent="0.35">
      <c r="A37" s="4" t="s">
        <v>286</v>
      </c>
      <c r="B37" s="3" t="s">
        <v>287</v>
      </c>
      <c r="C37" s="5" t="s">
        <v>441</v>
      </c>
      <c r="D37" s="3"/>
    </row>
    <row r="38" spans="1:4" x14ac:dyDescent="0.35">
      <c r="A38" s="4" t="s">
        <v>288</v>
      </c>
      <c r="B38" s="3" t="s">
        <v>289</v>
      </c>
      <c r="C38" s="5" t="e">
        <v>#N/A</v>
      </c>
      <c r="D38" s="3"/>
    </row>
    <row r="39" spans="1:4" x14ac:dyDescent="0.35">
      <c r="A39" s="4" t="s">
        <v>290</v>
      </c>
      <c r="B39" s="3" t="s">
        <v>291</v>
      </c>
      <c r="C39" s="5" t="e">
        <v>#N/A</v>
      </c>
      <c r="D39" s="3"/>
    </row>
    <row r="40" spans="1:4" x14ac:dyDescent="0.35">
      <c r="A40" s="4" t="s">
        <v>292</v>
      </c>
      <c r="B40" s="3" t="s">
        <v>293</v>
      </c>
      <c r="C40" s="5" t="e">
        <v>#N/A</v>
      </c>
      <c r="D40" s="3"/>
    </row>
    <row r="41" spans="1:4" x14ac:dyDescent="0.35">
      <c r="A41" s="4" t="s">
        <v>294</v>
      </c>
      <c r="B41" s="3" t="s">
        <v>295</v>
      </c>
      <c r="C41" s="5" t="s">
        <v>441</v>
      </c>
      <c r="D41" s="3"/>
    </row>
    <row r="42" spans="1:4" x14ac:dyDescent="0.35">
      <c r="A42" s="4" t="s">
        <v>296</v>
      </c>
      <c r="B42" s="3" t="s">
        <v>297</v>
      </c>
      <c r="C42" s="5" t="s">
        <v>441</v>
      </c>
      <c r="D42" s="3"/>
    </row>
    <row r="43" spans="1:4" x14ac:dyDescent="0.35">
      <c r="A43" s="4" t="s">
        <v>298</v>
      </c>
      <c r="B43" s="3" t="s">
        <v>299</v>
      </c>
      <c r="C43" s="5" t="s">
        <v>441</v>
      </c>
      <c r="D43" s="3"/>
    </row>
    <row r="44" spans="1:4" x14ac:dyDescent="0.35">
      <c r="A44" s="4" t="s">
        <v>300</v>
      </c>
      <c r="B44" s="3" t="s">
        <v>301</v>
      </c>
      <c r="C44" s="5" t="s">
        <v>441</v>
      </c>
      <c r="D44" s="3"/>
    </row>
    <row r="45" spans="1:4" x14ac:dyDescent="0.35">
      <c r="A45" s="4" t="s">
        <v>302</v>
      </c>
      <c r="B45" s="3" t="s">
        <v>303</v>
      </c>
      <c r="C45" s="5" t="s">
        <v>441</v>
      </c>
      <c r="D45" s="3"/>
    </row>
    <row r="46" spans="1:4" x14ac:dyDescent="0.35">
      <c r="A46" s="4" t="s">
        <v>304</v>
      </c>
      <c r="B46" s="3" t="s">
        <v>305</v>
      </c>
      <c r="C46" s="5" t="s">
        <v>441</v>
      </c>
      <c r="D46" s="3"/>
    </row>
    <row r="47" spans="1:4" x14ac:dyDescent="0.35">
      <c r="A47" s="4" t="s">
        <v>306</v>
      </c>
      <c r="B47" s="3" t="s">
        <v>307</v>
      </c>
      <c r="C47" s="5" t="s">
        <v>442</v>
      </c>
      <c r="D47" s="3"/>
    </row>
    <row r="48" spans="1:4" x14ac:dyDescent="0.35">
      <c r="A48" s="4" t="s">
        <v>308</v>
      </c>
      <c r="B48" s="3" t="s">
        <v>309</v>
      </c>
      <c r="C48" s="5" t="s">
        <v>444</v>
      </c>
      <c r="D48" s="3"/>
    </row>
    <row r="49" spans="1:4" x14ac:dyDescent="0.35">
      <c r="A49" s="4" t="s">
        <v>310</v>
      </c>
      <c r="B49" s="3" t="s">
        <v>311</v>
      </c>
      <c r="C49" s="5" t="s">
        <v>441</v>
      </c>
      <c r="D49" s="3"/>
    </row>
    <row r="50" spans="1:4" x14ac:dyDescent="0.35">
      <c r="A50" s="4" t="s">
        <v>312</v>
      </c>
      <c r="B50" s="3" t="s">
        <v>313</v>
      </c>
      <c r="C50" s="5" t="s">
        <v>441</v>
      </c>
      <c r="D50" s="3"/>
    </row>
    <row r="51" spans="1:4" x14ac:dyDescent="0.35">
      <c r="A51" s="4" t="s">
        <v>314</v>
      </c>
      <c r="B51" s="3" t="s">
        <v>315</v>
      </c>
      <c r="C51" s="5" t="s">
        <v>444</v>
      </c>
      <c r="D51" s="3"/>
    </row>
    <row r="52" spans="1:4" x14ac:dyDescent="0.35">
      <c r="A52" s="4" t="s">
        <v>316</v>
      </c>
      <c r="B52" s="3" t="s">
        <v>317</v>
      </c>
      <c r="C52" s="5" t="s">
        <v>441</v>
      </c>
      <c r="D52" s="3"/>
    </row>
    <row r="53" spans="1:4" x14ac:dyDescent="0.35">
      <c r="A53" s="4" t="s">
        <v>318</v>
      </c>
      <c r="B53" s="3" t="s">
        <v>319</v>
      </c>
      <c r="C53" s="5" t="s">
        <v>443</v>
      </c>
      <c r="D53" s="3"/>
    </row>
    <row r="54" spans="1:4" x14ac:dyDescent="0.35">
      <c r="A54" s="4" t="s">
        <v>320</v>
      </c>
      <c r="B54" s="3" t="s">
        <v>321</v>
      </c>
      <c r="C54" s="5" t="s">
        <v>441</v>
      </c>
      <c r="D54" s="3"/>
    </row>
    <row r="55" spans="1:4" x14ac:dyDescent="0.35">
      <c r="A55" s="4" t="s">
        <v>322</v>
      </c>
      <c r="B55" s="3" t="s">
        <v>323</v>
      </c>
      <c r="C55" s="5" t="s">
        <v>441</v>
      </c>
      <c r="D55" s="3"/>
    </row>
    <row r="56" spans="1:4" x14ac:dyDescent="0.35">
      <c r="A56" s="4" t="s">
        <v>324</v>
      </c>
      <c r="B56" s="3" t="s">
        <v>325</v>
      </c>
      <c r="C56" s="5" t="s">
        <v>441</v>
      </c>
      <c r="D56" s="3"/>
    </row>
    <row r="57" spans="1:4" x14ac:dyDescent="0.35">
      <c r="A57" s="4" t="s">
        <v>326</v>
      </c>
      <c r="B57" s="3" t="s">
        <v>327</v>
      </c>
      <c r="C57" s="5" t="s">
        <v>441</v>
      </c>
      <c r="D57" s="3"/>
    </row>
    <row r="58" spans="1:4" x14ac:dyDescent="0.35">
      <c r="A58" s="4" t="s">
        <v>328</v>
      </c>
      <c r="B58" s="3" t="s">
        <v>329</v>
      </c>
      <c r="C58" s="5" t="s">
        <v>441</v>
      </c>
      <c r="D58" s="3"/>
    </row>
    <row r="59" spans="1:4" x14ac:dyDescent="0.35">
      <c r="A59" s="4" t="s">
        <v>330</v>
      </c>
      <c r="B59" s="3" t="s">
        <v>331</v>
      </c>
      <c r="C59" s="5" t="s">
        <v>441</v>
      </c>
      <c r="D59" s="3"/>
    </row>
    <row r="60" spans="1:4" x14ac:dyDescent="0.35">
      <c r="A60" s="4" t="s">
        <v>332</v>
      </c>
      <c r="B60" s="3" t="s">
        <v>333</v>
      </c>
      <c r="C60" s="5" t="s">
        <v>441</v>
      </c>
      <c r="D60" s="3"/>
    </row>
    <row r="61" spans="1:4" x14ac:dyDescent="0.35">
      <c r="A61" s="4" t="s">
        <v>334</v>
      </c>
      <c r="B61" s="3" t="s">
        <v>335</v>
      </c>
      <c r="C61" s="5" t="s">
        <v>441</v>
      </c>
      <c r="D61" s="3"/>
    </row>
    <row r="62" spans="1:4" x14ac:dyDescent="0.35">
      <c r="A62" s="4" t="s">
        <v>336</v>
      </c>
      <c r="B62" s="3" t="s">
        <v>337</v>
      </c>
      <c r="C62" s="5" t="s">
        <v>442</v>
      </c>
      <c r="D62" s="3"/>
    </row>
    <row r="63" spans="1:4" x14ac:dyDescent="0.35">
      <c r="A63" s="4" t="s">
        <v>338</v>
      </c>
      <c r="B63" s="3" t="s">
        <v>339</v>
      </c>
      <c r="C63" s="5" t="s">
        <v>442</v>
      </c>
      <c r="D63" s="3"/>
    </row>
    <row r="64" spans="1:4" x14ac:dyDescent="0.35">
      <c r="A64" s="4" t="s">
        <v>340</v>
      </c>
      <c r="B64" s="3" t="s">
        <v>341</v>
      </c>
      <c r="C64" s="5" t="s">
        <v>441</v>
      </c>
      <c r="D64" s="3"/>
    </row>
    <row r="65" spans="1:4" x14ac:dyDescent="0.35">
      <c r="A65" s="4" t="s">
        <v>342</v>
      </c>
      <c r="B65" s="3" t="s">
        <v>343</v>
      </c>
      <c r="C65" s="5" t="s">
        <v>441</v>
      </c>
      <c r="D65" s="3"/>
    </row>
    <row r="66" spans="1:4" x14ac:dyDescent="0.35">
      <c r="A66" s="4" t="s">
        <v>344</v>
      </c>
      <c r="B66" s="3" t="s">
        <v>345</v>
      </c>
      <c r="C66" s="5" t="s">
        <v>441</v>
      </c>
      <c r="D66" s="3"/>
    </row>
    <row r="67" spans="1:4" x14ac:dyDescent="0.35">
      <c r="A67" s="4" t="s">
        <v>346</v>
      </c>
      <c r="B67" s="3" t="s">
        <v>347</v>
      </c>
      <c r="C67" s="5" t="s">
        <v>441</v>
      </c>
      <c r="D67" s="3"/>
    </row>
    <row r="68" spans="1:4" x14ac:dyDescent="0.35">
      <c r="A68" s="4" t="s">
        <v>348</v>
      </c>
      <c r="B68" s="3" t="s">
        <v>349</v>
      </c>
      <c r="C68" s="5" t="s">
        <v>441</v>
      </c>
      <c r="D68" s="3"/>
    </row>
    <row r="69" spans="1:4" x14ac:dyDescent="0.35">
      <c r="A69" s="4" t="s">
        <v>352</v>
      </c>
      <c r="B69" s="3" t="s">
        <v>353</v>
      </c>
      <c r="C69" s="5" t="s">
        <v>441</v>
      </c>
      <c r="D69" s="3"/>
    </row>
    <row r="70" spans="1:4" x14ac:dyDescent="0.35">
      <c r="A70" s="4" t="s">
        <v>354</v>
      </c>
      <c r="B70" s="3" t="s">
        <v>355</v>
      </c>
      <c r="C70" s="5" t="s">
        <v>443</v>
      </c>
      <c r="D70" s="3"/>
    </row>
    <row r="71" spans="1:4" x14ac:dyDescent="0.35">
      <c r="A71" s="4" t="s">
        <v>356</v>
      </c>
      <c r="B71" s="3" t="s">
        <v>357</v>
      </c>
      <c r="C71" s="5" t="s">
        <v>441</v>
      </c>
      <c r="D71" s="3"/>
    </row>
    <row r="72" spans="1:4" x14ac:dyDescent="0.35">
      <c r="A72" s="4" t="s">
        <v>358</v>
      </c>
      <c r="B72" s="3" t="s">
        <v>359</v>
      </c>
      <c r="C72" s="5" t="s">
        <v>441</v>
      </c>
      <c r="D72" s="3"/>
    </row>
    <row r="73" spans="1:4" x14ac:dyDescent="0.35">
      <c r="A73" s="4" t="s">
        <v>360</v>
      </c>
      <c r="B73" s="3" t="s">
        <v>361</v>
      </c>
      <c r="C73" s="5" t="s">
        <v>442</v>
      </c>
      <c r="D73" s="3"/>
    </row>
    <row r="74" spans="1:4" x14ac:dyDescent="0.35">
      <c r="A74" s="4" t="s">
        <v>362</v>
      </c>
      <c r="B74" s="3" t="s">
        <v>363</v>
      </c>
      <c r="C74" s="5" t="s">
        <v>441</v>
      </c>
      <c r="D74" s="3"/>
    </row>
    <row r="75" spans="1:4" x14ac:dyDescent="0.35">
      <c r="A75" s="4" t="s">
        <v>364</v>
      </c>
      <c r="B75" s="3" t="s">
        <v>365</v>
      </c>
      <c r="C75" s="5" t="s">
        <v>441</v>
      </c>
      <c r="D75" s="3"/>
    </row>
    <row r="76" spans="1:4" x14ac:dyDescent="0.35">
      <c r="A76" s="4" t="s">
        <v>366</v>
      </c>
      <c r="B76" s="3" t="s">
        <v>367</v>
      </c>
      <c r="C76" s="5" t="s">
        <v>441</v>
      </c>
      <c r="D76" s="3"/>
    </row>
    <row r="77" spans="1:4" x14ac:dyDescent="0.35">
      <c r="A77" s="4" t="s">
        <v>368</v>
      </c>
      <c r="B77" s="3" t="s">
        <v>369</v>
      </c>
      <c r="C77" s="5" t="s">
        <v>443</v>
      </c>
      <c r="D77" s="3"/>
    </row>
    <row r="78" spans="1:4" x14ac:dyDescent="0.35">
      <c r="A78" s="4" t="s">
        <v>370</v>
      </c>
      <c r="B78" s="3" t="s">
        <v>371</v>
      </c>
      <c r="C78" s="5" t="s">
        <v>442</v>
      </c>
      <c r="D78" s="3"/>
    </row>
    <row r="79" spans="1:4" x14ac:dyDescent="0.35">
      <c r="A79" s="4" t="s">
        <v>372</v>
      </c>
      <c r="B79" s="3" t="s">
        <v>373</v>
      </c>
      <c r="C79" s="5" t="s">
        <v>441</v>
      </c>
      <c r="D79" s="3"/>
    </row>
    <row r="80" spans="1:4" x14ac:dyDescent="0.35">
      <c r="A80" s="4" t="s">
        <v>374</v>
      </c>
      <c r="B80" s="3" t="s">
        <v>375</v>
      </c>
      <c r="C80" s="5" t="s">
        <v>443</v>
      </c>
      <c r="D80" s="3"/>
    </row>
    <row r="81" spans="1:4" x14ac:dyDescent="0.35">
      <c r="A81" s="4" t="s">
        <v>378</v>
      </c>
      <c r="B81" s="3" t="s">
        <v>379</v>
      </c>
      <c r="C81" s="5" t="s">
        <v>441</v>
      </c>
      <c r="D81" s="3"/>
    </row>
    <row r="82" spans="1:4" x14ac:dyDescent="0.35">
      <c r="A82" s="4" t="s">
        <v>380</v>
      </c>
      <c r="B82" s="3" t="s">
        <v>381</v>
      </c>
      <c r="C82" s="5" t="s">
        <v>441</v>
      </c>
      <c r="D82" s="3"/>
    </row>
    <row r="83" spans="1:4" x14ac:dyDescent="0.35">
      <c r="A83" s="4" t="s">
        <v>382</v>
      </c>
      <c r="B83" s="3" t="s">
        <v>383</v>
      </c>
      <c r="C83" s="5" t="e">
        <v>#N/A</v>
      </c>
      <c r="D83" s="3"/>
    </row>
    <row r="84" spans="1:4" x14ac:dyDescent="0.35">
      <c r="A84" s="4" t="s">
        <v>384</v>
      </c>
      <c r="B84" s="3" t="s">
        <v>385</v>
      </c>
      <c r="C84" s="5" t="s">
        <v>441</v>
      </c>
      <c r="D84" s="3"/>
    </row>
    <row r="85" spans="1:4" x14ac:dyDescent="0.35">
      <c r="A85" s="4" t="s">
        <v>386</v>
      </c>
      <c r="B85" s="3" t="s">
        <v>387</v>
      </c>
      <c r="C85" s="5" t="s">
        <v>441</v>
      </c>
      <c r="D85" s="3"/>
    </row>
    <row r="86" spans="1:4" x14ac:dyDescent="0.35">
      <c r="A86" s="4" t="s">
        <v>388</v>
      </c>
      <c r="B86" s="3" t="s">
        <v>389</v>
      </c>
      <c r="C86" s="5" t="s">
        <v>441</v>
      </c>
      <c r="D86" s="3"/>
    </row>
    <row r="87" spans="1:4" x14ac:dyDescent="0.35">
      <c r="A87" s="4" t="s">
        <v>390</v>
      </c>
      <c r="B87" s="3" t="s">
        <v>391</v>
      </c>
      <c r="C87" s="5" t="s">
        <v>443</v>
      </c>
      <c r="D87" s="3"/>
    </row>
    <row r="88" spans="1:4" x14ac:dyDescent="0.35">
      <c r="A88" s="4" t="s">
        <v>392</v>
      </c>
      <c r="B88" s="3" t="s">
        <v>393</v>
      </c>
      <c r="C88" s="5" t="s">
        <v>441</v>
      </c>
      <c r="D88" s="3"/>
    </row>
    <row r="89" spans="1:4" x14ac:dyDescent="0.35">
      <c r="A89" s="4" t="s">
        <v>394</v>
      </c>
      <c r="B89" s="3" t="s">
        <v>395</v>
      </c>
      <c r="C89" s="5" t="s">
        <v>442</v>
      </c>
      <c r="D89" s="3"/>
    </row>
    <row r="90" spans="1:4" x14ac:dyDescent="0.35">
      <c r="A90" s="4" t="s">
        <v>396</v>
      </c>
      <c r="B90" s="3" t="s">
        <v>397</v>
      </c>
      <c r="C90" s="5" t="s">
        <v>441</v>
      </c>
      <c r="D90" s="3"/>
    </row>
    <row r="91" spans="1:4" x14ac:dyDescent="0.35">
      <c r="A91" s="4" t="s">
        <v>398</v>
      </c>
      <c r="B91" s="3" t="s">
        <v>399</v>
      </c>
      <c r="C91" s="5" t="s">
        <v>441</v>
      </c>
      <c r="D91" s="3"/>
    </row>
    <row r="92" spans="1:4" x14ac:dyDescent="0.35">
      <c r="A92" s="4" t="s">
        <v>400</v>
      </c>
      <c r="B92" s="3" t="s">
        <v>401</v>
      </c>
      <c r="C92" s="5" t="s">
        <v>441</v>
      </c>
      <c r="D92" s="3"/>
    </row>
    <row r="93" spans="1:4" x14ac:dyDescent="0.35">
      <c r="A93" s="4" t="s">
        <v>402</v>
      </c>
      <c r="B93" s="3" t="s">
        <v>403</v>
      </c>
      <c r="C93" s="5" t="e">
        <v>#N/A</v>
      </c>
      <c r="D93" s="3"/>
    </row>
    <row r="94" spans="1:4" x14ac:dyDescent="0.35">
      <c r="A94" s="4" t="s">
        <v>404</v>
      </c>
      <c r="B94" s="3" t="s">
        <v>405</v>
      </c>
      <c r="C94" s="5" t="e">
        <v>#N/A</v>
      </c>
      <c r="D94" s="3"/>
    </row>
    <row r="95" spans="1:4" x14ac:dyDescent="0.35">
      <c r="A95" s="4" t="s">
        <v>406</v>
      </c>
      <c r="B95" s="3" t="s">
        <v>407</v>
      </c>
      <c r="C95" s="5" t="s">
        <v>441</v>
      </c>
      <c r="D95" s="3"/>
    </row>
    <row r="96" spans="1:4" x14ac:dyDescent="0.35">
      <c r="A96" s="4" t="s">
        <v>408</v>
      </c>
      <c r="B96" s="3" t="s">
        <v>409</v>
      </c>
      <c r="C96" s="5" t="s">
        <v>441</v>
      </c>
      <c r="D96" s="3"/>
    </row>
    <row r="97" spans="1:4" x14ac:dyDescent="0.35">
      <c r="A97" s="4" t="s">
        <v>410</v>
      </c>
      <c r="B97" s="3" t="s">
        <v>411</v>
      </c>
      <c r="C97" s="5" t="e">
        <v>#N/A</v>
      </c>
      <c r="D97" s="3"/>
    </row>
    <row r="98" spans="1:4" x14ac:dyDescent="0.35">
      <c r="A98" s="4" t="s">
        <v>412</v>
      </c>
      <c r="B98" s="3" t="s">
        <v>413</v>
      </c>
      <c r="C98" s="5" t="s">
        <v>444</v>
      </c>
      <c r="D98" s="3"/>
    </row>
    <row r="99" spans="1:4" x14ac:dyDescent="0.35">
      <c r="A99" s="4" t="s">
        <v>414</v>
      </c>
      <c r="B99" s="3" t="s">
        <v>415</v>
      </c>
      <c r="C99" s="5" t="s">
        <v>441</v>
      </c>
      <c r="D99" s="3"/>
    </row>
    <row r="100" spans="1:4" x14ac:dyDescent="0.35">
      <c r="A100" s="4" t="s">
        <v>416</v>
      </c>
      <c r="B100" s="3" t="s">
        <v>417</v>
      </c>
      <c r="C100" s="5" t="s">
        <v>441</v>
      </c>
      <c r="D100" s="3"/>
    </row>
    <row r="101" spans="1:4" x14ac:dyDescent="0.35">
      <c r="A101" s="4" t="s">
        <v>418</v>
      </c>
      <c r="B101" s="3" t="s">
        <v>419</v>
      </c>
      <c r="C101" s="5" t="s">
        <v>441</v>
      </c>
      <c r="D101" s="3"/>
    </row>
  </sheetData>
  <autoFilter ref="A1:C101"/>
  <sortState ref="A2:D101">
    <sortCondition ref="D2:D101"/>
  </sortState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11" activePane="bottomLeft" state="frozen"/>
      <selection pane="bottomLeft" activeCell="B18" sqref="B18"/>
    </sheetView>
  </sheetViews>
  <sheetFormatPr defaultRowHeight="14.5" x14ac:dyDescent="0.35"/>
  <cols>
    <col min="1" max="1" width="22.54296875" customWidth="1"/>
    <col min="2" max="2" width="23.36328125" customWidth="1"/>
  </cols>
  <sheetData>
    <row r="1" spans="1:5" x14ac:dyDescent="0.35">
      <c r="A1" s="11"/>
      <c r="B1" s="11" t="s">
        <v>471</v>
      </c>
      <c r="C1" s="11" t="s">
        <v>472</v>
      </c>
      <c r="D1" s="11"/>
      <c r="E1" t="s">
        <v>473</v>
      </c>
    </row>
    <row r="2" spans="1:5" x14ac:dyDescent="0.35">
      <c r="A2">
        <v>562</v>
      </c>
      <c r="B2">
        <v>562</v>
      </c>
      <c r="C2">
        <v>2</v>
      </c>
      <c r="D2" s="10">
        <v>44125</v>
      </c>
    </row>
    <row r="3" spans="1:5" x14ac:dyDescent="0.35">
      <c r="A3">
        <v>570</v>
      </c>
      <c r="B3">
        <v>570</v>
      </c>
      <c r="C3">
        <v>2</v>
      </c>
      <c r="D3" s="10">
        <v>44125</v>
      </c>
      <c r="E3">
        <v>1330</v>
      </c>
    </row>
    <row r="4" spans="1:5" x14ac:dyDescent="0.35">
      <c r="A4">
        <v>571</v>
      </c>
      <c r="B4">
        <v>571</v>
      </c>
      <c r="C4">
        <v>2</v>
      </c>
      <c r="D4" s="10">
        <v>44125</v>
      </c>
      <c r="E4">
        <v>1331</v>
      </c>
    </row>
    <row r="5" spans="1:5" x14ac:dyDescent="0.35">
      <c r="A5">
        <v>572</v>
      </c>
      <c r="B5">
        <v>572</v>
      </c>
      <c r="C5">
        <v>2</v>
      </c>
      <c r="D5" s="10">
        <v>44125</v>
      </c>
      <c r="E5">
        <v>1332</v>
      </c>
    </row>
    <row r="6" spans="1:5" x14ac:dyDescent="0.35">
      <c r="A6">
        <v>573</v>
      </c>
      <c r="B6">
        <v>573</v>
      </c>
      <c r="C6">
        <v>2</v>
      </c>
      <c r="D6" s="10">
        <v>44125</v>
      </c>
      <c r="E6">
        <v>1333</v>
      </c>
    </row>
    <row r="7" spans="1:5" x14ac:dyDescent="0.35">
      <c r="A7">
        <v>574</v>
      </c>
      <c r="B7">
        <v>574</v>
      </c>
      <c r="C7">
        <v>2</v>
      </c>
      <c r="D7" s="10">
        <v>44125</v>
      </c>
      <c r="E7">
        <v>1334</v>
      </c>
    </row>
    <row r="8" spans="1:5" x14ac:dyDescent="0.35">
      <c r="A8">
        <v>575</v>
      </c>
      <c r="B8">
        <v>575</v>
      </c>
      <c r="C8">
        <v>2</v>
      </c>
      <c r="D8" s="10">
        <v>44125</v>
      </c>
      <c r="E8">
        <v>1335</v>
      </c>
    </row>
    <row r="9" spans="1:5" x14ac:dyDescent="0.35">
      <c r="A9">
        <v>576</v>
      </c>
      <c r="B9">
        <v>576</v>
      </c>
      <c r="C9">
        <v>2</v>
      </c>
      <c r="D9" s="10">
        <v>44125</v>
      </c>
      <c r="E9">
        <v>1336</v>
      </c>
    </row>
    <row r="10" spans="1:5" x14ac:dyDescent="0.35">
      <c r="A10">
        <v>591</v>
      </c>
      <c r="B10">
        <v>591</v>
      </c>
      <c r="C10">
        <v>2</v>
      </c>
      <c r="D10" s="10">
        <v>44132</v>
      </c>
    </row>
    <row r="11" spans="1:5" x14ac:dyDescent="0.35">
      <c r="A11">
        <v>561</v>
      </c>
      <c r="B11">
        <v>561</v>
      </c>
      <c r="C11">
        <v>6</v>
      </c>
    </row>
    <row r="12" spans="1:5" x14ac:dyDescent="0.35">
      <c r="A12">
        <v>564</v>
      </c>
      <c r="B12">
        <v>564</v>
      </c>
      <c r="C12">
        <v>6</v>
      </c>
    </row>
    <row r="13" spans="1:5" x14ac:dyDescent="0.35">
      <c r="A13">
        <v>563</v>
      </c>
      <c r="B13">
        <v>563</v>
      </c>
      <c r="C13">
        <v>6</v>
      </c>
    </row>
    <row r="17" spans="1:2" x14ac:dyDescent="0.35">
      <c r="A17" t="s">
        <v>474</v>
      </c>
    </row>
    <row r="18" spans="1:2" x14ac:dyDescent="0.35">
      <c r="A18">
        <v>341</v>
      </c>
      <c r="B18" t="s">
        <v>475</v>
      </c>
    </row>
    <row r="19" spans="1:2" x14ac:dyDescent="0.35">
      <c r="A19">
        <v>346</v>
      </c>
      <c r="B19" t="s">
        <v>476</v>
      </c>
    </row>
    <row r="24" spans="1:2" x14ac:dyDescent="0.35">
      <c r="A24" t="s">
        <v>473</v>
      </c>
    </row>
    <row r="25" spans="1:2" x14ac:dyDescent="0.35">
      <c r="A25">
        <v>345</v>
      </c>
    </row>
    <row r="26" spans="1:2" x14ac:dyDescent="0.35">
      <c r="A26">
        <v>346</v>
      </c>
    </row>
    <row r="27" spans="1:2" x14ac:dyDescent="0.35">
      <c r="A27">
        <v>341</v>
      </c>
    </row>
  </sheetData>
  <sortState ref="A2:D10">
    <sortCondition ref="B2:B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7" workbookViewId="0">
      <selection activeCell="I1" sqref="I1:N50"/>
    </sheetView>
  </sheetViews>
  <sheetFormatPr defaultRowHeight="14.5" x14ac:dyDescent="0.35"/>
  <sheetData>
    <row r="1" spans="1:14" x14ac:dyDescent="0.35">
      <c r="A1" s="11" t="s">
        <v>477</v>
      </c>
      <c r="B1" s="11" t="s">
        <v>478</v>
      </c>
      <c r="C1" s="11" t="s">
        <v>479</v>
      </c>
      <c r="D1" s="11" t="s">
        <v>480</v>
      </c>
      <c r="E1" s="11" t="s">
        <v>481</v>
      </c>
      <c r="F1" s="11" t="s">
        <v>482</v>
      </c>
      <c r="I1" s="11" t="s">
        <v>477</v>
      </c>
      <c r="J1" s="11" t="s">
        <v>478</v>
      </c>
      <c r="K1" s="11" t="s">
        <v>479</v>
      </c>
      <c r="L1" s="11" t="s">
        <v>480</v>
      </c>
      <c r="M1" s="11" t="s">
        <v>481</v>
      </c>
      <c r="N1" s="11" t="s">
        <v>482</v>
      </c>
    </row>
    <row r="2" spans="1:14" x14ac:dyDescent="0.35">
      <c r="A2">
        <v>0</v>
      </c>
      <c r="B2">
        <v>21430.61</v>
      </c>
      <c r="C2">
        <v>0</v>
      </c>
      <c r="D2">
        <v>0</v>
      </c>
      <c r="E2">
        <v>0</v>
      </c>
      <c r="F2">
        <v>0</v>
      </c>
      <c r="I2">
        <v>0</v>
      </c>
      <c r="J2">
        <v>34213.410000000003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1</v>
      </c>
      <c r="B3">
        <v>21098.47</v>
      </c>
      <c r="C3">
        <v>332.14</v>
      </c>
      <c r="D3">
        <v>572.21</v>
      </c>
      <c r="E3">
        <v>91.55</v>
      </c>
      <c r="F3">
        <v>995.9</v>
      </c>
      <c r="I3">
        <v>1</v>
      </c>
      <c r="J3">
        <v>33897.26</v>
      </c>
      <c r="K3">
        <v>316.14999999999998</v>
      </c>
      <c r="L3">
        <v>922.29</v>
      </c>
      <c r="M3">
        <v>147.57</v>
      </c>
      <c r="N3">
        <v>1386</v>
      </c>
    </row>
    <row r="4" spans="1:14" x14ac:dyDescent="0.35">
      <c r="A4">
        <v>2</v>
      </c>
      <c r="B4">
        <v>20756.04</v>
      </c>
      <c r="C4">
        <v>342.43</v>
      </c>
      <c r="D4">
        <v>563.34</v>
      </c>
      <c r="E4">
        <v>90.13</v>
      </c>
      <c r="F4">
        <v>995.9</v>
      </c>
      <c r="I4">
        <v>2</v>
      </c>
      <c r="J4">
        <v>33571.230000000003</v>
      </c>
      <c r="K4">
        <v>326.02999999999997</v>
      </c>
      <c r="L4">
        <v>913.76</v>
      </c>
      <c r="M4">
        <v>146.19999999999999</v>
      </c>
      <c r="N4">
        <v>1386</v>
      </c>
    </row>
    <row r="5" spans="1:14" x14ac:dyDescent="0.35">
      <c r="A5">
        <v>3</v>
      </c>
      <c r="B5">
        <v>20403.009999999998</v>
      </c>
      <c r="C5">
        <v>353.03</v>
      </c>
      <c r="D5">
        <v>554.20000000000005</v>
      </c>
      <c r="E5">
        <v>88.67</v>
      </c>
      <c r="F5">
        <v>995.9</v>
      </c>
      <c r="I5">
        <v>3</v>
      </c>
      <c r="J5">
        <v>33235</v>
      </c>
      <c r="K5">
        <v>336.23</v>
      </c>
      <c r="L5">
        <v>904.98</v>
      </c>
      <c r="M5">
        <v>144.80000000000001</v>
      </c>
      <c r="N5">
        <v>1386</v>
      </c>
    </row>
    <row r="6" spans="1:14" x14ac:dyDescent="0.35">
      <c r="A6">
        <v>4</v>
      </c>
      <c r="B6">
        <v>20039.05</v>
      </c>
      <c r="C6">
        <v>363.97</v>
      </c>
      <c r="D6">
        <v>544.77</v>
      </c>
      <c r="E6">
        <v>87.16</v>
      </c>
      <c r="F6">
        <v>995.9</v>
      </c>
      <c r="I6">
        <v>4</v>
      </c>
      <c r="J6">
        <v>32888.26</v>
      </c>
      <c r="K6">
        <v>346.74</v>
      </c>
      <c r="L6">
        <v>895.91</v>
      </c>
      <c r="M6">
        <v>143.35</v>
      </c>
      <c r="N6">
        <v>1386</v>
      </c>
    </row>
    <row r="7" spans="1:14" x14ac:dyDescent="0.35">
      <c r="A7">
        <v>5</v>
      </c>
      <c r="B7">
        <v>19663.810000000001</v>
      </c>
      <c r="C7">
        <v>375.24</v>
      </c>
      <c r="D7">
        <v>535.04999999999995</v>
      </c>
      <c r="E7">
        <v>85.61</v>
      </c>
      <c r="F7">
        <v>995.9</v>
      </c>
      <c r="I7">
        <v>5</v>
      </c>
      <c r="J7">
        <v>32530.68</v>
      </c>
      <c r="K7">
        <v>357.58</v>
      </c>
      <c r="L7">
        <v>886.57</v>
      </c>
      <c r="M7">
        <v>141.85</v>
      </c>
      <c r="N7">
        <v>1386</v>
      </c>
    </row>
    <row r="8" spans="1:14" x14ac:dyDescent="0.35">
      <c r="A8">
        <v>6</v>
      </c>
      <c r="B8">
        <v>19276.939999999999</v>
      </c>
      <c r="C8">
        <v>386.86</v>
      </c>
      <c r="D8">
        <v>525.03</v>
      </c>
      <c r="E8">
        <v>84.01</v>
      </c>
      <c r="F8">
        <v>995.9</v>
      </c>
      <c r="I8">
        <v>6</v>
      </c>
      <c r="J8">
        <v>32161.91</v>
      </c>
      <c r="K8">
        <v>368.77</v>
      </c>
      <c r="L8">
        <v>876.93</v>
      </c>
      <c r="M8">
        <v>140.31</v>
      </c>
      <c r="N8">
        <v>1386</v>
      </c>
    </row>
    <row r="9" spans="1:14" x14ac:dyDescent="0.35">
      <c r="A9">
        <v>7</v>
      </c>
      <c r="B9">
        <v>18878.099999999999</v>
      </c>
      <c r="C9">
        <v>398.84</v>
      </c>
      <c r="D9">
        <v>514.70000000000005</v>
      </c>
      <c r="E9">
        <v>82.35</v>
      </c>
      <c r="F9">
        <v>995.9</v>
      </c>
      <c r="I9">
        <v>7</v>
      </c>
      <c r="J9">
        <v>31781.61</v>
      </c>
      <c r="K9">
        <v>380.3</v>
      </c>
      <c r="L9">
        <v>866.98</v>
      </c>
      <c r="M9">
        <v>138.72</v>
      </c>
      <c r="N9">
        <v>1386</v>
      </c>
    </row>
    <row r="10" spans="1:14" x14ac:dyDescent="0.35">
      <c r="A10">
        <v>8</v>
      </c>
      <c r="B10">
        <v>18466.900000000001</v>
      </c>
      <c r="C10">
        <v>411.2</v>
      </c>
      <c r="D10">
        <v>504.05</v>
      </c>
      <c r="E10">
        <v>80.650000000000006</v>
      </c>
      <c r="F10">
        <v>995.9</v>
      </c>
      <c r="I10">
        <v>8</v>
      </c>
      <c r="J10">
        <v>31389.42</v>
      </c>
      <c r="K10">
        <v>392.19</v>
      </c>
      <c r="L10">
        <v>856.73</v>
      </c>
      <c r="M10">
        <v>137.08000000000001</v>
      </c>
      <c r="N10">
        <v>1386</v>
      </c>
    </row>
    <row r="11" spans="1:14" x14ac:dyDescent="0.35">
      <c r="A11">
        <v>9</v>
      </c>
      <c r="B11">
        <v>18042.97</v>
      </c>
      <c r="C11">
        <v>423.93</v>
      </c>
      <c r="D11">
        <v>493.08</v>
      </c>
      <c r="E11">
        <v>78.89</v>
      </c>
      <c r="F11">
        <v>995.9</v>
      </c>
      <c r="I11">
        <v>9</v>
      </c>
      <c r="J11">
        <v>30984.97</v>
      </c>
      <c r="K11">
        <v>404.45</v>
      </c>
      <c r="L11">
        <v>846.16</v>
      </c>
      <c r="M11">
        <v>135.38999999999999</v>
      </c>
      <c r="N11">
        <v>1386</v>
      </c>
    </row>
    <row r="12" spans="1:14" x14ac:dyDescent="0.35">
      <c r="A12">
        <v>10</v>
      </c>
      <c r="B12">
        <v>17605.91</v>
      </c>
      <c r="C12">
        <v>437.06</v>
      </c>
      <c r="D12">
        <v>481.76</v>
      </c>
      <c r="E12">
        <v>77.08</v>
      </c>
      <c r="F12">
        <v>995.9</v>
      </c>
      <c r="I12">
        <v>10</v>
      </c>
      <c r="J12">
        <v>30567.87</v>
      </c>
      <c r="K12">
        <v>417.1</v>
      </c>
      <c r="L12">
        <v>835.26</v>
      </c>
      <c r="M12">
        <v>133.63999999999999</v>
      </c>
      <c r="N12">
        <v>1386</v>
      </c>
    </row>
    <row r="13" spans="1:14" x14ac:dyDescent="0.35">
      <c r="A13">
        <v>11</v>
      </c>
      <c r="B13">
        <v>17155.310000000001</v>
      </c>
      <c r="C13">
        <v>450.6</v>
      </c>
      <c r="D13">
        <v>470.09</v>
      </c>
      <c r="E13">
        <v>75.209999999999994</v>
      </c>
      <c r="F13">
        <v>995.9</v>
      </c>
      <c r="I13">
        <v>11</v>
      </c>
      <c r="J13">
        <v>30137.72</v>
      </c>
      <c r="K13">
        <v>430.14</v>
      </c>
      <c r="L13">
        <v>824.01</v>
      </c>
      <c r="M13">
        <v>131.84</v>
      </c>
      <c r="N13">
        <v>1386</v>
      </c>
    </row>
    <row r="14" spans="1:14" x14ac:dyDescent="0.35">
      <c r="A14">
        <v>12</v>
      </c>
      <c r="B14">
        <v>16690.75</v>
      </c>
      <c r="C14">
        <v>464.56</v>
      </c>
      <c r="D14">
        <v>458.05</v>
      </c>
      <c r="E14">
        <v>73.290000000000006</v>
      </c>
      <c r="F14">
        <v>995.9</v>
      </c>
      <c r="I14">
        <v>12</v>
      </c>
      <c r="J14">
        <v>29694.13</v>
      </c>
      <c r="K14">
        <v>443.59</v>
      </c>
      <c r="L14">
        <v>812.42</v>
      </c>
      <c r="M14">
        <v>129.99</v>
      </c>
      <c r="N14">
        <v>1386</v>
      </c>
    </row>
    <row r="15" spans="1:14" x14ac:dyDescent="0.35">
      <c r="A15">
        <v>13</v>
      </c>
      <c r="B15">
        <v>16211.81</v>
      </c>
      <c r="C15">
        <v>478.94</v>
      </c>
      <c r="D15">
        <v>445.65</v>
      </c>
      <c r="E15">
        <v>71.3</v>
      </c>
      <c r="F15">
        <v>995.9</v>
      </c>
      <c r="I15">
        <v>13</v>
      </c>
      <c r="J15">
        <v>29236.67</v>
      </c>
      <c r="K15">
        <v>457.46</v>
      </c>
      <c r="L15">
        <v>800.46</v>
      </c>
      <c r="M15">
        <v>128.07</v>
      </c>
      <c r="N15">
        <v>1386</v>
      </c>
    </row>
    <row r="16" spans="1:14" x14ac:dyDescent="0.35">
      <c r="A16">
        <v>14</v>
      </c>
      <c r="B16">
        <v>15718.03</v>
      </c>
      <c r="C16">
        <v>493.78</v>
      </c>
      <c r="D16">
        <v>432.86</v>
      </c>
      <c r="E16">
        <v>69.260000000000005</v>
      </c>
      <c r="F16">
        <v>995.9</v>
      </c>
      <c r="I16">
        <v>14</v>
      </c>
      <c r="J16">
        <v>28764.9</v>
      </c>
      <c r="K16">
        <v>471.77</v>
      </c>
      <c r="L16">
        <v>788.13</v>
      </c>
      <c r="M16">
        <v>126.1</v>
      </c>
      <c r="N16">
        <v>1386</v>
      </c>
    </row>
    <row r="17" spans="1:14" x14ac:dyDescent="0.35">
      <c r="A17">
        <v>15</v>
      </c>
      <c r="B17">
        <v>15208.96</v>
      </c>
      <c r="C17">
        <v>509.07</v>
      </c>
      <c r="D17">
        <v>419.68</v>
      </c>
      <c r="E17">
        <v>67.150000000000006</v>
      </c>
      <c r="F17">
        <v>995.9</v>
      </c>
      <c r="I17">
        <v>15</v>
      </c>
      <c r="J17">
        <v>28278.37</v>
      </c>
      <c r="K17">
        <v>486.52</v>
      </c>
      <c r="L17">
        <v>775.41</v>
      </c>
      <c r="M17">
        <v>124.07</v>
      </c>
      <c r="N17">
        <v>1386</v>
      </c>
    </row>
    <row r="18" spans="1:14" x14ac:dyDescent="0.35">
      <c r="A18">
        <v>16</v>
      </c>
      <c r="B18">
        <v>14684.12</v>
      </c>
      <c r="C18">
        <v>524.84</v>
      </c>
      <c r="D18">
        <v>406.09</v>
      </c>
      <c r="E18">
        <v>64.97</v>
      </c>
      <c r="F18">
        <v>995.9</v>
      </c>
      <c r="I18">
        <v>16</v>
      </c>
      <c r="J18">
        <v>27776.639999999999</v>
      </c>
      <c r="K18">
        <v>501.74</v>
      </c>
      <c r="L18">
        <v>762.3</v>
      </c>
      <c r="M18">
        <v>121.97</v>
      </c>
      <c r="N18">
        <v>1386</v>
      </c>
    </row>
    <row r="19" spans="1:14" x14ac:dyDescent="0.35">
      <c r="A19">
        <v>17</v>
      </c>
      <c r="B19">
        <v>14143.02</v>
      </c>
      <c r="C19">
        <v>541.1</v>
      </c>
      <c r="D19">
        <v>392.07</v>
      </c>
      <c r="E19">
        <v>62.73</v>
      </c>
      <c r="F19">
        <v>995.9</v>
      </c>
      <c r="I19">
        <v>17</v>
      </c>
      <c r="J19">
        <v>27259.21</v>
      </c>
      <c r="K19">
        <v>517.41999999999996</v>
      </c>
      <c r="L19">
        <v>748.77</v>
      </c>
      <c r="M19">
        <v>119.8</v>
      </c>
      <c r="N19">
        <v>1386</v>
      </c>
    </row>
    <row r="20" spans="1:14" x14ac:dyDescent="0.35">
      <c r="A20">
        <v>18</v>
      </c>
      <c r="B20">
        <v>13585.17</v>
      </c>
      <c r="C20">
        <v>557.85</v>
      </c>
      <c r="D20">
        <v>377.63</v>
      </c>
      <c r="E20">
        <v>60.42</v>
      </c>
      <c r="F20">
        <v>995.9</v>
      </c>
      <c r="I20">
        <v>18</v>
      </c>
      <c r="J20">
        <v>26725.61</v>
      </c>
      <c r="K20">
        <v>533.6</v>
      </c>
      <c r="L20">
        <v>734.82</v>
      </c>
      <c r="M20">
        <v>117.57</v>
      </c>
      <c r="N20">
        <v>1386</v>
      </c>
    </row>
    <row r="21" spans="1:14" x14ac:dyDescent="0.35">
      <c r="A21">
        <v>19</v>
      </c>
      <c r="B21">
        <v>13010.03</v>
      </c>
      <c r="C21">
        <v>575.13</v>
      </c>
      <c r="D21">
        <v>362.73</v>
      </c>
      <c r="E21">
        <v>58.04</v>
      </c>
      <c r="F21">
        <v>995.9</v>
      </c>
      <c r="I21">
        <v>19</v>
      </c>
      <c r="J21">
        <v>26175.32</v>
      </c>
      <c r="K21">
        <v>550.29</v>
      </c>
      <c r="L21">
        <v>720.44</v>
      </c>
      <c r="M21">
        <v>115.27</v>
      </c>
      <c r="N21">
        <v>1386</v>
      </c>
    </row>
    <row r="22" spans="1:14" x14ac:dyDescent="0.35">
      <c r="A22">
        <v>20</v>
      </c>
      <c r="B22">
        <v>12417.09</v>
      </c>
      <c r="C22">
        <v>592.95000000000005</v>
      </c>
      <c r="D22">
        <v>347.37</v>
      </c>
      <c r="E22">
        <v>55.58</v>
      </c>
      <c r="F22">
        <v>995.9</v>
      </c>
      <c r="I22">
        <v>20</v>
      </c>
      <c r="J22">
        <v>25607.82</v>
      </c>
      <c r="K22">
        <v>567.5</v>
      </c>
      <c r="L22">
        <v>705.61</v>
      </c>
      <c r="M22">
        <v>112.9</v>
      </c>
      <c r="N22">
        <v>1386</v>
      </c>
    </row>
    <row r="23" spans="1:14" x14ac:dyDescent="0.35">
      <c r="A23">
        <v>21</v>
      </c>
      <c r="B23">
        <v>11805.78</v>
      </c>
      <c r="C23">
        <v>611.30999999999995</v>
      </c>
      <c r="D23">
        <v>331.54</v>
      </c>
      <c r="E23">
        <v>53.05</v>
      </c>
      <c r="F23">
        <v>995.9</v>
      </c>
      <c r="I23">
        <v>21</v>
      </c>
      <c r="J23">
        <v>25022.58</v>
      </c>
      <c r="K23">
        <v>585.24</v>
      </c>
      <c r="L23">
        <v>690.31</v>
      </c>
      <c r="M23">
        <v>110.45</v>
      </c>
      <c r="N23">
        <v>1386</v>
      </c>
    </row>
    <row r="24" spans="1:14" x14ac:dyDescent="0.35">
      <c r="A24">
        <v>22</v>
      </c>
      <c r="B24">
        <v>11175.53</v>
      </c>
      <c r="C24">
        <v>630.24</v>
      </c>
      <c r="D24">
        <v>315.22000000000003</v>
      </c>
      <c r="E24">
        <v>50.44</v>
      </c>
      <c r="F24">
        <v>995.9</v>
      </c>
      <c r="I24">
        <v>22</v>
      </c>
      <c r="J24">
        <v>24419.03</v>
      </c>
      <c r="K24">
        <v>603.54</v>
      </c>
      <c r="L24">
        <v>674.53</v>
      </c>
      <c r="M24">
        <v>107.92</v>
      </c>
      <c r="N24">
        <v>1386</v>
      </c>
    </row>
    <row r="25" spans="1:14" x14ac:dyDescent="0.35">
      <c r="A25">
        <v>23</v>
      </c>
      <c r="B25">
        <v>10525.77</v>
      </c>
      <c r="C25">
        <v>649.77</v>
      </c>
      <c r="D25">
        <v>298.39</v>
      </c>
      <c r="E25">
        <v>47.74</v>
      </c>
      <c r="F25">
        <v>995.9</v>
      </c>
      <c r="I25">
        <v>23</v>
      </c>
      <c r="J25">
        <v>23796.61</v>
      </c>
      <c r="K25">
        <v>622.41999999999996</v>
      </c>
      <c r="L25">
        <v>658.26</v>
      </c>
      <c r="M25">
        <v>105.32</v>
      </c>
      <c r="N25">
        <v>1386</v>
      </c>
    </row>
    <row r="26" spans="1:14" x14ac:dyDescent="0.35">
      <c r="A26">
        <v>24</v>
      </c>
      <c r="B26">
        <v>9855.8799999999992</v>
      </c>
      <c r="C26">
        <v>669.89</v>
      </c>
      <c r="D26">
        <v>281.04000000000002</v>
      </c>
      <c r="E26">
        <v>44.97</v>
      </c>
      <c r="F26">
        <v>995.9</v>
      </c>
      <c r="I26">
        <v>24</v>
      </c>
      <c r="J26">
        <v>23154.73</v>
      </c>
      <c r="K26">
        <v>641.88</v>
      </c>
      <c r="L26">
        <v>641.48</v>
      </c>
      <c r="M26">
        <v>102.64</v>
      </c>
      <c r="N26">
        <v>1386</v>
      </c>
    </row>
    <row r="27" spans="1:14" x14ac:dyDescent="0.35">
      <c r="A27">
        <v>25</v>
      </c>
      <c r="B27">
        <v>9165.24</v>
      </c>
      <c r="C27">
        <v>690.64</v>
      </c>
      <c r="D27">
        <v>263.16000000000003</v>
      </c>
      <c r="E27">
        <v>42.11</v>
      </c>
      <c r="F27">
        <v>995.9</v>
      </c>
      <c r="I27">
        <v>25</v>
      </c>
      <c r="J27">
        <v>22492.78</v>
      </c>
      <c r="K27">
        <v>661.95</v>
      </c>
      <c r="L27">
        <v>624.17999999999995</v>
      </c>
      <c r="M27">
        <v>99.87</v>
      </c>
      <c r="N27">
        <v>1386</v>
      </c>
    </row>
    <row r="28" spans="1:14" x14ac:dyDescent="0.35">
      <c r="A28">
        <v>26</v>
      </c>
      <c r="B28">
        <v>8453.2099999999991</v>
      </c>
      <c r="C28">
        <v>712.03</v>
      </c>
      <c r="D28">
        <v>244.72</v>
      </c>
      <c r="E28">
        <v>39.15</v>
      </c>
      <c r="F28">
        <v>995.9</v>
      </c>
      <c r="I28">
        <v>26</v>
      </c>
      <c r="J28">
        <v>21810.13</v>
      </c>
      <c r="K28">
        <v>682.65</v>
      </c>
      <c r="L28">
        <v>606.34</v>
      </c>
      <c r="M28">
        <v>97.01</v>
      </c>
      <c r="N28">
        <v>1386</v>
      </c>
    </row>
    <row r="29" spans="1:14" x14ac:dyDescent="0.35">
      <c r="A29">
        <v>27</v>
      </c>
      <c r="B29">
        <v>7719.13</v>
      </c>
      <c r="C29">
        <v>734.08</v>
      </c>
      <c r="D29">
        <v>225.7</v>
      </c>
      <c r="E29">
        <v>36.11</v>
      </c>
      <c r="F29">
        <v>995.9</v>
      </c>
      <c r="I29">
        <v>27</v>
      </c>
      <c r="J29">
        <v>21106.13</v>
      </c>
      <c r="K29">
        <v>704</v>
      </c>
      <c r="L29">
        <v>587.92999999999995</v>
      </c>
      <c r="M29">
        <v>94.07</v>
      </c>
      <c r="N29">
        <v>1386</v>
      </c>
    </row>
    <row r="30" spans="1:14" x14ac:dyDescent="0.35">
      <c r="A30">
        <v>28</v>
      </c>
      <c r="B30">
        <v>6962.31</v>
      </c>
      <c r="C30">
        <v>756.82</v>
      </c>
      <c r="D30">
        <v>206.1</v>
      </c>
      <c r="E30">
        <v>32.979999999999997</v>
      </c>
      <c r="F30">
        <v>995.9</v>
      </c>
      <c r="I30">
        <v>28</v>
      </c>
      <c r="J30">
        <v>20380.12</v>
      </c>
      <c r="K30">
        <v>726.01</v>
      </c>
      <c r="L30">
        <v>568.96</v>
      </c>
      <c r="M30">
        <v>91.03</v>
      </c>
      <c r="N30">
        <v>1386</v>
      </c>
    </row>
    <row r="31" spans="1:14" x14ac:dyDescent="0.35">
      <c r="A31">
        <v>29</v>
      </c>
      <c r="B31">
        <v>6182.05</v>
      </c>
      <c r="C31">
        <v>780.26</v>
      </c>
      <c r="D31">
        <v>185.9</v>
      </c>
      <c r="E31">
        <v>29.74</v>
      </c>
      <c r="F31">
        <v>995.9</v>
      </c>
      <c r="I31">
        <v>29</v>
      </c>
      <c r="J31">
        <v>19631.41</v>
      </c>
      <c r="K31">
        <v>748.71</v>
      </c>
      <c r="L31">
        <v>549.38</v>
      </c>
      <c r="M31">
        <v>87.9</v>
      </c>
      <c r="N31">
        <v>1386</v>
      </c>
    </row>
    <row r="32" spans="1:14" x14ac:dyDescent="0.35">
      <c r="A32">
        <v>30</v>
      </c>
      <c r="B32">
        <v>5377.62</v>
      </c>
      <c r="C32">
        <v>804.43</v>
      </c>
      <c r="D32">
        <v>165.06</v>
      </c>
      <c r="E32">
        <v>26.41</v>
      </c>
      <c r="F32">
        <v>995.9</v>
      </c>
      <c r="I32">
        <v>30</v>
      </c>
      <c r="J32">
        <v>18859.28</v>
      </c>
      <c r="K32">
        <v>772.13</v>
      </c>
      <c r="L32">
        <v>529.20000000000005</v>
      </c>
      <c r="M32">
        <v>84.67</v>
      </c>
      <c r="N32">
        <v>1386</v>
      </c>
    </row>
    <row r="33" spans="1:14" x14ac:dyDescent="0.35">
      <c r="A33">
        <v>31</v>
      </c>
      <c r="B33">
        <v>4548.28</v>
      </c>
      <c r="C33">
        <v>829.34</v>
      </c>
      <c r="D33">
        <v>143.59</v>
      </c>
      <c r="E33">
        <v>22.97</v>
      </c>
      <c r="F33">
        <v>995.9</v>
      </c>
      <c r="I33">
        <v>31</v>
      </c>
      <c r="J33">
        <v>18063.009999999998</v>
      </c>
      <c r="K33">
        <v>796.27</v>
      </c>
      <c r="L33">
        <v>508.39</v>
      </c>
      <c r="M33">
        <v>81.34</v>
      </c>
      <c r="N33">
        <v>1386</v>
      </c>
    </row>
    <row r="34" spans="1:14" x14ac:dyDescent="0.35">
      <c r="A34">
        <v>32</v>
      </c>
      <c r="B34">
        <v>3693.25</v>
      </c>
      <c r="C34">
        <v>855.03</v>
      </c>
      <c r="D34">
        <v>121.44</v>
      </c>
      <c r="E34">
        <v>19.43</v>
      </c>
      <c r="F34">
        <v>995.9</v>
      </c>
      <c r="I34">
        <v>32</v>
      </c>
      <c r="J34">
        <v>17241.84</v>
      </c>
      <c r="K34">
        <v>821.17</v>
      </c>
      <c r="L34">
        <v>486.92</v>
      </c>
      <c r="M34">
        <v>77.91</v>
      </c>
      <c r="N34">
        <v>1386</v>
      </c>
    </row>
    <row r="35" spans="1:14" x14ac:dyDescent="0.35">
      <c r="A35">
        <v>33</v>
      </c>
      <c r="B35">
        <v>2811.74</v>
      </c>
      <c r="C35">
        <v>881.51</v>
      </c>
      <c r="D35">
        <v>98.61</v>
      </c>
      <c r="E35">
        <v>15.78</v>
      </c>
      <c r="F35">
        <v>995.9</v>
      </c>
      <c r="I35">
        <v>33</v>
      </c>
      <c r="J35">
        <v>16394.990000000002</v>
      </c>
      <c r="K35">
        <v>846.85</v>
      </c>
      <c r="L35">
        <v>464.79</v>
      </c>
      <c r="M35">
        <v>74.37</v>
      </c>
      <c r="N35">
        <v>1386</v>
      </c>
    </row>
    <row r="36" spans="1:14" x14ac:dyDescent="0.35">
      <c r="A36">
        <v>34</v>
      </c>
      <c r="B36">
        <v>1902.93</v>
      </c>
      <c r="C36">
        <v>908.81</v>
      </c>
      <c r="D36">
        <v>75.069999999999993</v>
      </c>
      <c r="E36">
        <v>12.01</v>
      </c>
      <c r="F36">
        <v>995.9</v>
      </c>
      <c r="I36">
        <v>34</v>
      </c>
      <c r="J36">
        <v>15521.67</v>
      </c>
      <c r="K36">
        <v>873.33</v>
      </c>
      <c r="L36">
        <v>441.96</v>
      </c>
      <c r="M36">
        <v>70.709999999999994</v>
      </c>
      <c r="N36">
        <v>1386</v>
      </c>
    </row>
    <row r="37" spans="1:14" x14ac:dyDescent="0.35">
      <c r="A37">
        <v>35</v>
      </c>
      <c r="B37">
        <v>965.97</v>
      </c>
      <c r="C37">
        <v>936.96</v>
      </c>
      <c r="D37">
        <v>50.81</v>
      </c>
      <c r="E37">
        <v>8.1300000000000008</v>
      </c>
      <c r="F37">
        <v>995.9</v>
      </c>
      <c r="I37">
        <v>35</v>
      </c>
      <c r="J37">
        <v>14621.03</v>
      </c>
      <c r="K37">
        <v>900.64</v>
      </c>
      <c r="L37">
        <v>418.42</v>
      </c>
      <c r="M37">
        <v>66.95</v>
      </c>
      <c r="N37">
        <v>1386</v>
      </c>
    </row>
    <row r="38" spans="1:14" x14ac:dyDescent="0.35">
      <c r="A38">
        <v>36</v>
      </c>
      <c r="B38">
        <v>0</v>
      </c>
      <c r="C38">
        <v>965.97</v>
      </c>
      <c r="D38">
        <v>25.83</v>
      </c>
      <c r="E38">
        <v>4.13</v>
      </c>
      <c r="F38">
        <v>995.9</v>
      </c>
      <c r="I38">
        <v>36</v>
      </c>
      <c r="J38">
        <v>13692.23</v>
      </c>
      <c r="K38">
        <v>928.8</v>
      </c>
      <c r="L38">
        <v>394.14</v>
      </c>
      <c r="M38">
        <v>63.06</v>
      </c>
      <c r="N38">
        <v>1386</v>
      </c>
    </row>
    <row r="39" spans="1:14" x14ac:dyDescent="0.35">
      <c r="I39">
        <v>37</v>
      </c>
      <c r="J39">
        <v>12734.38</v>
      </c>
      <c r="K39">
        <v>957.84</v>
      </c>
      <c r="L39">
        <v>369.1</v>
      </c>
      <c r="M39">
        <v>59.06</v>
      </c>
      <c r="N39">
        <v>1386</v>
      </c>
    </row>
    <row r="40" spans="1:14" x14ac:dyDescent="0.35">
      <c r="C40">
        <f t="shared" ref="C40:E40" si="0">SUM(C2:C39)</f>
        <v>21430.609999999997</v>
      </c>
      <c r="D40">
        <f t="shared" si="0"/>
        <v>12432.59</v>
      </c>
      <c r="E40">
        <f t="shared" si="0"/>
        <v>1989.2000000000005</v>
      </c>
      <c r="F40">
        <f>SUM(F2:F39)</f>
        <v>35852.400000000023</v>
      </c>
      <c r="I40">
        <v>38</v>
      </c>
      <c r="J40">
        <v>11746.59</v>
      </c>
      <c r="K40">
        <v>987.8</v>
      </c>
      <c r="L40">
        <v>343.28</v>
      </c>
      <c r="M40">
        <v>54.92</v>
      </c>
      <c r="N40">
        <v>1386</v>
      </c>
    </row>
    <row r="41" spans="1:14" x14ac:dyDescent="0.35">
      <c r="I41">
        <v>39</v>
      </c>
      <c r="J41">
        <v>10727.9</v>
      </c>
      <c r="K41">
        <v>1018.68</v>
      </c>
      <c r="L41">
        <v>316.64999999999998</v>
      </c>
      <c r="M41">
        <v>50.66</v>
      </c>
      <c r="N41">
        <v>1386</v>
      </c>
    </row>
    <row r="42" spans="1:14" x14ac:dyDescent="0.35">
      <c r="I42">
        <v>40</v>
      </c>
      <c r="J42">
        <v>9677.36</v>
      </c>
      <c r="K42">
        <v>1050.54</v>
      </c>
      <c r="L42">
        <v>289.19</v>
      </c>
      <c r="M42">
        <v>46.27</v>
      </c>
      <c r="N42">
        <v>1386</v>
      </c>
    </row>
    <row r="43" spans="1:14" x14ac:dyDescent="0.35">
      <c r="F43">
        <f>SUM(C40:E40)</f>
        <v>35852.399999999994</v>
      </c>
      <c r="I43">
        <v>41</v>
      </c>
      <c r="J43">
        <v>8593.98</v>
      </c>
      <c r="K43">
        <v>1083.3900000000001</v>
      </c>
      <c r="L43">
        <v>260.87</v>
      </c>
      <c r="M43">
        <v>41.74</v>
      </c>
      <c r="N43">
        <v>1386</v>
      </c>
    </row>
    <row r="44" spans="1:14" x14ac:dyDescent="0.35">
      <c r="I44">
        <v>42</v>
      </c>
      <c r="J44">
        <v>7476.71</v>
      </c>
      <c r="K44">
        <v>1117.27</v>
      </c>
      <c r="L44">
        <v>231.67</v>
      </c>
      <c r="M44">
        <v>37.07</v>
      </c>
      <c r="N44">
        <v>1386</v>
      </c>
    </row>
    <row r="45" spans="1:14" x14ac:dyDescent="0.35">
      <c r="I45">
        <v>43</v>
      </c>
      <c r="J45">
        <v>6324.51</v>
      </c>
      <c r="K45">
        <v>1152.2</v>
      </c>
      <c r="L45">
        <v>201.55</v>
      </c>
      <c r="M45">
        <v>32.25</v>
      </c>
      <c r="N45">
        <v>1386</v>
      </c>
    </row>
    <row r="46" spans="1:14" x14ac:dyDescent="0.35">
      <c r="I46">
        <v>44</v>
      </c>
      <c r="J46">
        <v>5136.2700000000004</v>
      </c>
      <c r="K46">
        <v>1188.23</v>
      </c>
      <c r="L46">
        <v>170.49</v>
      </c>
      <c r="M46">
        <v>27.28</v>
      </c>
      <c r="N46">
        <v>1386</v>
      </c>
    </row>
    <row r="47" spans="1:14" x14ac:dyDescent="0.35">
      <c r="I47">
        <v>45</v>
      </c>
      <c r="J47">
        <v>3910.88</v>
      </c>
      <c r="K47">
        <v>1225.3900000000001</v>
      </c>
      <c r="L47">
        <v>138.46</v>
      </c>
      <c r="M47">
        <v>22.15</v>
      </c>
      <c r="N47">
        <v>1386</v>
      </c>
    </row>
    <row r="48" spans="1:14" x14ac:dyDescent="0.35">
      <c r="I48">
        <v>46</v>
      </c>
      <c r="J48">
        <v>2647.18</v>
      </c>
      <c r="K48">
        <v>1263.71</v>
      </c>
      <c r="L48">
        <v>105.43</v>
      </c>
      <c r="M48">
        <v>16.87</v>
      </c>
      <c r="N48">
        <v>1386</v>
      </c>
    </row>
    <row r="49" spans="9:14" x14ac:dyDescent="0.35">
      <c r="I49">
        <v>47</v>
      </c>
      <c r="J49">
        <v>1343.95</v>
      </c>
      <c r="K49">
        <v>1303.22</v>
      </c>
      <c r="L49">
        <v>71.36</v>
      </c>
      <c r="M49">
        <v>11.42</v>
      </c>
      <c r="N49">
        <v>1386</v>
      </c>
    </row>
    <row r="50" spans="9:14" x14ac:dyDescent="0.35">
      <c r="I50">
        <v>48</v>
      </c>
      <c r="J50">
        <v>0</v>
      </c>
      <c r="K50">
        <v>1343.95</v>
      </c>
      <c r="L50">
        <v>36.24</v>
      </c>
      <c r="M50">
        <v>5.8</v>
      </c>
      <c r="N50">
        <v>1386</v>
      </c>
    </row>
    <row r="52" spans="9:14" x14ac:dyDescent="0.35">
      <c r="K52">
        <f t="shared" ref="K52" si="1">SUM(K14:K51)</f>
        <v>30137.7</v>
      </c>
      <c r="L52">
        <f t="shared" ref="L52" si="2">SUM(L14:L51)</f>
        <v>18227.84</v>
      </c>
      <c r="M52">
        <f t="shared" ref="M52" si="3">SUM(M14:M51)</f>
        <v>2916.45</v>
      </c>
      <c r="N52">
        <f>SUM(N14:N51)</f>
        <v>51282</v>
      </c>
    </row>
    <row r="55" spans="9:14" x14ac:dyDescent="0.35">
      <c r="N55">
        <f>SUM(K52:M52)</f>
        <v>51281.99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 posibilidad de préstamo</vt:lpstr>
      <vt:lpstr>Préstamos en recuperación</vt:lpstr>
      <vt:lpstr>AdminEF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Saris</dc:creator>
  <cp:lastModifiedBy>Gabriel Rios Rivera</cp:lastModifiedBy>
  <dcterms:created xsi:type="dcterms:W3CDTF">2020-07-29T20:30:02Z</dcterms:created>
  <dcterms:modified xsi:type="dcterms:W3CDTF">2021-01-01T02:19:27Z</dcterms:modified>
</cp:coreProperties>
</file>